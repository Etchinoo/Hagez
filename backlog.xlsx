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C\Downloads\Robusta\Reservation System\super-reservation\"/>
    </mc:Choice>
  </mc:AlternateContent>
  <xr:revisionPtr revIDLastSave="0" documentId="13_ncr:1_{08A40C9A-3874-49EC-8072-EA7C39AC9811}" xr6:coauthVersionLast="47" xr6:coauthVersionMax="47" xr10:uidLastSave="{00000000-0000-0000-0000-000000000000}"/>
  <bookViews>
    <workbookView xWindow="-120" yWindow="-120" windowWidth="29040" windowHeight="15720" xr2:uid="{00000000-000D-0000-FFFF-FFFF00000000}"/>
  </bookViews>
  <sheets>
    <sheet name="Epics" sheetId="1" r:id="rId1"/>
    <sheet name="User Stories" sheetId="2" r:id="rId2"/>
    <sheet name="Sprint Plan" sheetId="3" r:id="rId3"/>
    <sheet name="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16NTFpQhV5I8pfnQNXaXVp0qruPhsydgs0vVrev9xAA="/>
    </ext>
  </extLst>
</workbook>
</file>

<file path=xl/calcChain.xml><?xml version="1.0" encoding="utf-8"?>
<calcChain xmlns="http://schemas.openxmlformats.org/spreadsheetml/2006/main">
  <c r="C28" i="4" l="1"/>
  <c r="B28" i="4"/>
  <c r="C27" i="4"/>
  <c r="B27" i="4"/>
  <c r="C26" i="4"/>
  <c r="B26" i="4"/>
  <c r="C25" i="4"/>
  <c r="B25" i="4"/>
  <c r="C24" i="4"/>
  <c r="B24" i="4"/>
  <c r="C23" i="4"/>
  <c r="B23" i="4"/>
  <c r="C22" i="4"/>
  <c r="B22" i="4"/>
  <c r="C21" i="4"/>
  <c r="B21" i="4"/>
  <c r="C20" i="4"/>
  <c r="B20" i="4"/>
  <c r="C19" i="4"/>
  <c r="B19" i="4"/>
  <c r="C16" i="4"/>
  <c r="B16" i="4"/>
  <c r="C15" i="4"/>
  <c r="B15" i="4"/>
  <c r="C14" i="4"/>
  <c r="B14" i="4"/>
  <c r="C11" i="4"/>
  <c r="B11" i="4"/>
  <c r="C10" i="4"/>
  <c r="B10" i="4"/>
  <c r="C9" i="4"/>
  <c r="B9" i="4"/>
  <c r="B6" i="4"/>
  <c r="B5" i="4"/>
  <c r="B4" i="4"/>
</calcChain>
</file>

<file path=xl/sharedStrings.xml><?xml version="1.0" encoding="utf-8"?>
<sst xmlns="http://schemas.openxmlformats.org/spreadsheetml/2006/main" count="1341" uniqueCount="708">
  <si>
    <t>SUPER RESERVATION PLATFORM — Epic Backlog</t>
  </si>
  <si>
    <t>Epic ID</t>
  </si>
  <si>
    <t>Epic Name</t>
  </si>
  <si>
    <t>Description</t>
  </si>
  <si>
    <t>Category</t>
  </si>
  <si>
    <t>Priority</t>
  </si>
  <si>
    <t>Phase</t>
  </si>
  <si>
    <t>Status</t>
  </si>
  <si>
    <t># Stories</t>
  </si>
  <si>
    <t>Story Points Est.</t>
  </si>
  <si>
    <t>Dependencies</t>
  </si>
  <si>
    <t>Notes</t>
  </si>
  <si>
    <t>EP-01</t>
  </si>
  <si>
    <t>Authentication &amp; User Management</t>
  </si>
  <si>
    <t>Consumer registration (phone OTP, social login), business owner login, profile setup, session management.</t>
  </si>
  <si>
    <t>Foundation</t>
  </si>
  <si>
    <t>P0 — Must Have</t>
  </si>
  <si>
    <t>Phase 1</t>
  </si>
  <si>
    <t>Backlog</t>
  </si>
  <si>
    <t>—</t>
  </si>
  <si>
    <t>Blocks all other epics. Must ship first.</t>
  </si>
  <si>
    <t>EP-02</t>
  </si>
  <si>
    <t>Discovery &amp; Search</t>
  </si>
  <si>
    <t>Consumer browses and searches businesses by category, district, date, party size. Filters, ranking algorithm, business profile display.</t>
  </si>
  <si>
    <t>Consumer App</t>
  </si>
  <si>
    <t>Ranking algo needs real data to tune. Launch with proximity + rating.</t>
  </si>
  <si>
    <t>EP-03</t>
  </si>
  <si>
    <t>Booking Engine</t>
  </si>
  <si>
    <t>Core slot availability, tailored category journeys (restaurant, salon), slot hold (Redis), booking state machine, conflict detection, reschedule, cancel.</t>
  </si>
  <si>
    <t>Core Platform</t>
  </si>
  <si>
    <t>EP-01,EP-02</t>
  </si>
  <si>
    <t>Most complex epic. Redis slot locking is critical path.</t>
  </si>
  <si>
    <t>EP-04</t>
  </si>
  <si>
    <t>Payment &amp; Escrow</t>
  </si>
  <si>
    <t>Paymob integration (card, InstaPay, Fawry, Vodafone Cash, Meeza), deposit capture, escrow, payout, refunds, receipts.</t>
  </si>
  <si>
    <t>WABA registration runs in parallel. Paymob sandbox from Day 1.</t>
  </si>
  <si>
    <t>EP-05</t>
  </si>
  <si>
    <t>No-Show &amp; Cancellation</t>
  </si>
  <si>
    <t>No-show detection job (every 15 min), penalty split (75/25), card-on-file, dispute window, ops resolution flow.</t>
  </si>
  <si>
    <t>EP-03,EP-04</t>
  </si>
  <si>
    <t>Detection job is cron on ECS. Dispute flow needs admin console.</t>
  </si>
  <si>
    <t>EP-06</t>
  </si>
  <si>
    <t>Notifications</t>
  </si>
  <si>
    <t>WhatsApp Business API (360dialog), SMS fallback (Twilio), push (FCM), booking confirmation, reminders (24h+2h), review prompt, no-show alerts.</t>
  </si>
  <si>
    <t>Platform</t>
  </si>
  <si>
    <t>EP-03,EP-04,EP-05</t>
  </si>
  <si>
    <t>WABA template approval: submit at Week 1. 2–4 week approval time.</t>
  </si>
  <si>
    <t>EP-07</t>
  </si>
  <si>
    <t>Business Dashboard</t>
  </si>
  <si>
    <t>Business owner web PWA: calendar view, booking management, availability setup, deposit/policy config, staff management (salon), analytics, manual bookings.</t>
  </si>
  <si>
    <t>Business App</t>
  </si>
  <si>
    <t>EP-01,EP-03,EP-04</t>
  </si>
  <si>
    <t>Tablet-first PWA. RTL sidebar on right.</t>
  </si>
  <si>
    <t>EP-08</t>
  </si>
  <si>
    <t>Consumer Mobile App</t>
  </si>
  <si>
    <t>React Native iOS + Android app: home feed, search, booking journeys, my bookings, profile, settings, RTL Arabic-first UI.</t>
  </si>
  <si>
    <t>EP-01,EP-02,EP-03,EP-04,EP-06</t>
  </si>
  <si>
    <t>App Store + Play Store submission: allow 2 weeks before launch.</t>
  </si>
  <si>
    <t>EP-09</t>
  </si>
  <si>
    <t>Admin Console</t>
  </si>
  <si>
    <t>Internal ops tool: business verification, dispute resolution, platform health dashboard, featured listing management, refund execution, user management.</t>
  </si>
  <si>
    <t>Internal</t>
  </si>
  <si>
    <t>EP-01,EP-03,EP-04,EP-05</t>
  </si>
  <si>
    <t>Internal web app. No App Store. Ops team uses from Day 1.</t>
  </si>
  <si>
    <t>EP-10</t>
  </si>
  <si>
    <t>Reviews &amp; Loyalty (Phase 1 Foundation)</t>
  </si>
  <si>
    <t>Post-visit review prompt (WhatsApp), verified-booker-only reviews, moderation queue, rating display on profile. Loyalty points as placeholder schema only.</t>
  </si>
  <si>
    <t>P1 — Should Have</t>
  </si>
  <si>
    <t>EP-03,EP-06</t>
  </si>
  <si>
    <t>Full loyalty program (cross-category points) is Phase 2.</t>
  </si>
  <si>
    <t>EP-11</t>
  </si>
  <si>
    <t>Sports Court Booking</t>
  </si>
  <si>
    <t>Court category journey: sport type, duration, slot, player count, equipment rental, squad share card. Business config: court inventory, hourly pricing.</t>
  </si>
  <si>
    <t>Phase 2</t>
  </si>
  <si>
    <t>EP-03,EP-07</t>
  </si>
  <si>
    <t>Phase 2. Court booking engine extends core EP-03 with duration slots.</t>
  </si>
  <si>
    <t>EP-12</t>
  </si>
  <si>
    <t>Gaming Cafe Booking</t>
  </si>
  <si>
    <t>Gaming cafe category: station type (PC/console/VR), duration, group room, genre preference. Business config: station inventory, block durations.</t>
  </si>
  <si>
    <t>Phase 2. Similar slot logic to courts.</t>
  </si>
  <si>
    <t>EP-13</t>
  </si>
  <si>
    <t>Car Wash Booking</t>
  </si>
  <si>
    <t>Car wash category: vehicle type, service package, drop-off vs wait, bay assignment, estimated completion time, ready notification.</t>
  </si>
  <si>
    <t>Phase 2. Adds vehicle type data model.</t>
  </si>
  <si>
    <t>EP-14</t>
  </si>
  <si>
    <t>Dynamic Pricing Engine</t>
  </si>
  <si>
    <t>Business owner configures surge multipliers for peak hours, demand-based auto-pricing, last-minute discount rules. Platform enforces and executes.</t>
  </si>
  <si>
    <t>Phase 2. Requires booking volume data to tune algorithms.</t>
  </si>
  <si>
    <t>EP-15</t>
  </si>
  <si>
    <t>WhatsApp Bot Onboarding</t>
  </si>
  <si>
    <t>WhatsApp Business bot for zero-friction business onboarding. Business can start accepting bookings via WhatsApp in 10 minutes without web dashboard.</t>
  </si>
  <si>
    <t>EP-07,EP-06</t>
  </si>
  <si>
    <t>Phase 2. Highest-impact supply acquisition lever.</t>
  </si>
  <si>
    <t>EP-16</t>
  </si>
  <si>
    <t>Multi-Category Loyalty Program</t>
  </si>
  <si>
    <t>Consumer earns points across all categories. Points redeemable across categories. Loyalty tiers. Business loyalty analytics.</t>
  </si>
  <si>
    <t>P2 — Nice to Have</t>
  </si>
  <si>
    <t>Phase 3</t>
  </si>
  <si>
    <t>EP-10,EP-03</t>
  </si>
  <si>
    <t>Phase 3. Cross-category points are the core retention moat.</t>
  </si>
  <si>
    <t>EP-17</t>
  </si>
  <si>
    <t>Featured Listings &amp; Marketplace</t>
  </si>
  <si>
    <t>Business owner purchases featured placement slots. Consumer-facing discovery tab. Featured badge on profile. Marketplace ranking controls in admin.</t>
  </si>
  <si>
    <t>EP-02,EP-09</t>
  </si>
  <si>
    <t>Phase 2. Revenue unlock for platform.</t>
  </si>
  <si>
    <t>EP-18</t>
  </si>
  <si>
    <t>Data Intelligence API</t>
  </si>
  <si>
    <t>Booking density heatmaps, demand intelligence reports for prop-tech clients (ODH, Beltone KEE). API layer with commercial licensing.</t>
  </si>
  <si>
    <t>Phase 3. Requires 100K+ monthly bookings to be commercially valuable.</t>
  </si>
  <si>
    <t>TOTALS</t>
  </si>
  <si>
    <t>SUPER RESERVATION PLATFORM — User Story Backlog</t>
  </si>
  <si>
    <t>Story ID</t>
  </si>
  <si>
    <t>Role</t>
  </si>
  <si>
    <t>User Story</t>
  </si>
  <si>
    <t>Acceptance Criteria</t>
  </si>
  <si>
    <t>Story Points</t>
  </si>
  <si>
    <t>Screen / Component</t>
  </si>
  <si>
    <t>Labels</t>
  </si>
  <si>
    <t>US-001</t>
  </si>
  <si>
    <t>Consumer</t>
  </si>
  <si>
    <t>As a consumer, I want to register with my Egyptian phone number so I can create an account without an email.</t>
  </si>
  <si>
    <t>1. OTP sent to +20 mobile within 5 seconds.
2. OTP expires in 5 minutes.
3. 5 failed attempts trigger 15-min lockout.
4. Phone number stored in E.164 format.
5. Success redirects to profile setup.</t>
  </si>
  <si>
    <t>Auth</t>
  </si>
  <si>
    <t>Registration Screen</t>
  </si>
  <si>
    <t>Phone must accept +20 prefix. Also international.</t>
  </si>
  <si>
    <t>auth,consumer,registration</t>
  </si>
  <si>
    <t>US-002</t>
  </si>
  <si>
    <t>As a consumer, I want to sign in with Google or Apple so I can log in without entering a phone number.</t>
  </si>
  <si>
    <t>1. Apple Sign-In shown on iOS (App Store requirement).
2. Google shown on both iOS and Android.
3. First login creates account; repeat login signs in.
4. Social login fetches display name and email.
5. Arabic UI throughout flow.</t>
  </si>
  <si>
    <t>Login Screen</t>
  </si>
  <si>
    <t>Apple Sign-In is mandatory for iOS App Store compliance.</t>
  </si>
  <si>
    <t>auth,consumer,social-login</t>
  </si>
  <si>
    <t>US-003</t>
  </si>
  <si>
    <t>As a consumer, I want to set up my profile (name, language, notification preferences) so the app is personalised for me.</t>
  </si>
  <si>
    <t>1. Name field: Arabic or Latin, required.
2. Language toggle: Arabic (default) / English.
3. Notification preferences: WhatsApp on/off, push on/off.
4. Profile photo optional (S3 upload).
5. Saved and shown in profile tab.</t>
  </si>
  <si>
    <t>Profile Setup Screen</t>
  </si>
  <si>
    <t>Language preference drives all subsequent UI and notification language.</t>
  </si>
  <si>
    <t>auth,consumer,profile</t>
  </si>
  <si>
    <t>US-004</t>
  </si>
  <si>
    <t>Business Owner</t>
  </si>
  <si>
    <t>As a business owner, I want to log in with my phone number or email so I can access my dashboard securely.</t>
  </si>
  <si>
    <t>1. Phone OTP login: same flow as consumer.
2. Email + password login: email verified on first setup.
3. Session persists 30 days on trusted device.
4. Password reset via SMS OTP.
5. Dashboard shown immediately after login.</t>
  </si>
  <si>
    <t>Business Login Screen</t>
  </si>
  <si>
    <t>Separate from consumer login UI but shared backend auth service.</t>
  </si>
  <si>
    <t>auth,business,login</t>
  </si>
  <si>
    <t>US-005</t>
  </si>
  <si>
    <t>As a business owner, I want to set up my business profile (name, location, photos, description) so customers can find and trust my business.</t>
  </si>
  <si>
    <t>1. Name required in Arabic AND English.
2. Min 3 photos uploaded (S3).
3. Location: address text + Google Maps pin confirmation.
4. Category selection: restaurant/salon/court/gaming/carwash.
5. Profile saved with status PENDING (awaiting ops verification).</t>
  </si>
  <si>
    <t>Business Profile Setup</t>
  </si>
  <si>
    <t>Ops must verify before profile goes ACTIVE. SLA: 24 hours.</t>
  </si>
  <si>
    <t>auth,business,profile,onboarding</t>
  </si>
  <si>
    <t>US-006</t>
  </si>
  <si>
    <t>As a logged-in consumer, I want to log out from any device so I can secure my account.</t>
  </si>
  <si>
    <t>1. Logout clears JWT and refresh token.
2. Session invalidated server-side.
3. Redirect to login screen.
4. Push notification token deregistered on logout.</t>
  </si>
  <si>
    <t>Profile / Settings Screen</t>
  </si>
  <si>
    <t>Standard auth flow.</t>
  </si>
  <si>
    <t>auth,consumer,security</t>
  </si>
  <si>
    <t>US-007</t>
  </si>
  <si>
    <t>Admin</t>
  </si>
  <si>
    <t>As an ops admin, I want to verify a newly registered business within 24 hours so only real businesses appear on the platform.</t>
  </si>
  <si>
    <t>1. New businesses appear in PENDING queue in admin console.
2. Ops can view: name, category, location, photos, phone.
3. Approve: status → ACTIVE, WhatsApp notification sent to owner.
4. Reject: reason required, WhatsApp notification with reason sent.
5. SLA alert if business pending &gt; 24 hours.</t>
  </si>
  <si>
    <t>Admin — Business Verification</t>
  </si>
  <si>
    <t>US-005,EP-09</t>
  </si>
  <si>
    <t>Core trust and safety gate. No business auto-activates.</t>
  </si>
  <si>
    <t>auth,admin,verification,trust</t>
  </si>
  <si>
    <t>US-008</t>
  </si>
  <si>
    <t>As a returning consumer, I want to reset my password via SMS OTP so I can regain access to my account.</t>
  </si>
  <si>
    <t>1. 'Forgot password' on login screen.
2. OTP sent to registered phone.
3. OTP valid 5 minutes.
4. New password set: minimum 8 characters.
5. All existing sessions invalidated on reset.</t>
  </si>
  <si>
    <t>Password Reset Screen</t>
  </si>
  <si>
    <t>Standard reset flow.</t>
  </si>
  <si>
    <t>US-009</t>
  </si>
  <si>
    <t>As a consumer, I want to see a personalised home feed of businesses near me so I can quickly find something to book.</t>
  </si>
  <si>
    <t>1. Home feed shows businesses within 10km sorted by proximity × rating × availability.
2. Category tiles at top: restaurant, salon, court, gaming, car wash.
3. Featured businesses (max 3) shown above organic results.
4. Feed loads within 1.5 seconds on 4G.
5. Skeleton screen shown during load.</t>
  </si>
  <si>
    <t>Discovery</t>
  </si>
  <si>
    <t>Home Screen</t>
  </si>
  <si>
    <t>Featured tile logic linked to EP-17 but feed itself is Phase 1.</t>
  </si>
  <si>
    <t>discovery,consumer,home-feed</t>
  </si>
  <si>
    <t>US-010</t>
  </si>
  <si>
    <t>As a consumer, I want to search for restaurants by name, district, date, and party size so I can find what I need quickly.</t>
  </si>
  <si>
    <t>1. Search bar on home and search tab.
2. Auto-complete suggestions after 2 characters.
3. Results filtered by: category, district, date, party size, rating ≥ N.
4. Arabic and transliterated Arabic supported.
5. Empty state with Arabic 'عدّل البحث' CTA shown when no results.</t>
  </si>
  <si>
    <t>Search Results Screen</t>
  </si>
  <si>
    <t>Arabic full-text search using PostgreSQL tsvector or Elasticsearch.</t>
  </si>
  <si>
    <t>discovery,consumer,search</t>
  </si>
  <si>
    <t>US-011</t>
  </si>
  <si>
    <t>As a consumer, I want to view a business profile with photos, rating, menu/services, and available slots so I can decide whether to book.</t>
  </si>
  <si>
    <t>1. Profile shows: photos (min 3, lazy loaded), name AR+EN, description AR+EN, rating (after ≥5 reviews), review count, location map, services list with prices.
2. Next 3 available slots shown without entering booking flow.
3. 'Book Now' sticky CTA at bottom.
4. Map link opens Google Maps.</t>
  </si>
  <si>
    <t>Business Profile Screen</t>
  </si>
  <si>
    <t>US-009,US-010</t>
  </si>
  <si>
    <t>Star rating shown only after 5 reviews — display 'New' badge before that.</t>
  </si>
  <si>
    <t>discovery,consumer,profile</t>
  </si>
  <si>
    <t>US-012</t>
  </si>
  <si>
    <t>As a consumer, I want to filter search results by cuisine type, section, and rating so I can narrow down my options.</t>
  </si>
  <si>
    <t>1. Filter panel: cuisine type (restaurants), service type (salons), rating (≥3/4/5), price range, indoor/outdoor.
2. Filters persist during session.
3. Active filter count badge shown on filter button.
4. Clear all filters with one tap.
5. Results refresh without full page reload.</t>
  </si>
  <si>
    <t>Search Results — Filter Panel</t>
  </si>
  <si>
    <t>Max 6 simultaneous filters.</t>
  </si>
  <si>
    <t>discovery,consumer,filters</t>
  </si>
  <si>
    <t>US-013</t>
  </si>
  <si>
    <t>As a consumer, I want to see a Google Map with nearby businesses pinned so I can choose based on proximity.</t>
  </si>
  <si>
    <t>1. Map tab on search results.
2. Business pins on map using category colour.
3. Tapping pin shows mini-profile card.
4. 'Book' button on mini-card opens full profile.
5. Map bounding box re-queries as user pans.</t>
  </si>
  <si>
    <t>Map View</t>
  </si>
  <si>
    <t>Phase 1 stretch. Can launch without map view.</t>
  </si>
  <si>
    <t>discovery,consumer,map</t>
  </si>
  <si>
    <t>US-014</t>
  </si>
  <si>
    <t>Algorithm</t>
  </si>
  <si>
    <t>As the platform, I want a ranking algorithm to sort search results by proximity × rating × availability density so consumers see the best options first.</t>
  </si>
  <si>
    <t>1. Base score = (1/distance_km) × (rating/5) × (available_slots/total_slots).
2. Featured businesses get +30% score boost.
3. New businesses (&lt; 5 reviews) get +10% boost for first 30 days.
4. Algorithm weights documented and configurable via admin console.
5. P95 query time &lt; 500ms.</t>
  </si>
  <si>
    <t>Backend — Search Service</t>
  </si>
  <si>
    <t>Algorithm weights tuned with real data post-launch.</t>
  </si>
  <si>
    <t>discovery,backend,algorithm,search</t>
  </si>
  <si>
    <t>US-015</t>
  </si>
  <si>
    <t>As a consumer, I want to see recently visited businesses on my home feed so I can quickly rebook.</t>
  </si>
  <si>
    <t>1. 'Recently visited' horizontal scroll strip below category tiles.
2. Shows last 5 businesses where consumer completed a booking.
3. Strip hidden until first completed booking.
4. Tapping opens business profile directly.</t>
  </si>
  <si>
    <t>Home Screen — Recents</t>
  </si>
  <si>
    <t>US-009,EP-03</t>
  </si>
  <si>
    <t>Requires booking history. Surfaced after first completed booking.</t>
  </si>
  <si>
    <t>discovery,consumer,personalization</t>
  </si>
  <si>
    <t>US-016</t>
  </si>
  <si>
    <t>As a consumer, I want to see real-time slot availability for a restaurant so I know which times I can book.</t>
  </si>
  <si>
    <t>1. Available slots fetched in real-time (not cached).
2. Slot shows: time, duration, available capacity.
3. Full slots shown in strikethrough/greyed.
4. Slots refresh if user stays on screen &gt; 2 minutes.
5. API P95 &lt; 200ms.</t>
  </si>
  <si>
    <t>Business Profile — Slot Grid</t>
  </si>
  <si>
    <t>Redis caches availability grid; invalidated on each booking.</t>
  </si>
  <si>
    <t>booking,consumer,availability</t>
  </si>
  <si>
    <t>US-017</t>
  </si>
  <si>
    <t>As a consumer, I want to book a restaurant with occasion, party size, section, and special requests so the restaurant can prepare for my visit.</t>
  </si>
  <si>
    <t>1. Step 1: Occasion selector (birthday, anniversary, business, casual).
2. Step 2: Party size stepper 1–20.
3. Step 3: Date + time slot selection.
4. Step 4: Section preference (indoor/outdoor/private/any) — shown only if business has configured sections.
5. Step 5: Special requests free text (max 200 chars).
6. Step 6: Booking summary with deposit + platform fee breakdown.
7. All labels and CTAs in Arabic.</t>
  </si>
  <si>
    <t>Restaurant Booking Journey (6 steps)</t>
  </si>
  <si>
    <t>US-016,EP-04</t>
  </si>
  <si>
    <t>Core Phase 1 journey. Must be perfect before launch.</t>
  </si>
  <si>
    <t>booking,consumer,restaurant,journey</t>
  </si>
  <si>
    <t>US-018</t>
  </si>
  <si>
    <t>As a consumer, I want to book a salon appointment selecting service type, stylist preference, and time so I always get the right person.</t>
  </si>
  <si>
    <t>1. Step 1: Service type from business service list (with price + duration).
2. Step 2: Add-on services (combinable; total duration + price auto-calculated).
3. Step 3: Stylist preference — 'Any available' or specific stylist.
4. Step 4: Date + time (filtered by stylist availability if specific stylist selected).
5. If preferred stylist unavailable at chosen time: show next available slot for that stylist (do NOT silently reassign).
6. Booking summary with breakdown.</t>
  </si>
  <si>
    <t>Salon Booking Journey</t>
  </si>
  <si>
    <t>Staff-resource model: each stylist is a resource with their own calendar.</t>
  </si>
  <si>
    <t>booking,consumer,salon,journey</t>
  </si>
  <si>
    <t>US-019</t>
  </si>
  <si>
    <t>As the platform, I want to hold a selected slot for 8 minutes during checkout so the consumer can complete payment without losing it.</t>
  </si>
  <si>
    <t>1. Redis SETNX lock acquired on slot selection (key: SLOT_HOLD:{slot_id}).
2. TTL set to 480 seconds.
3. Countdown timer shown to consumer (8:00 countdown).
4. If timer expires: slot released, consumer shown 'الوقت انتهى' screen with alternative slots.
5. On payment success: Redis lock deleted, slot.booked_count incremented atomically.</t>
  </si>
  <si>
    <t>Backend — Slot Locking Service</t>
  </si>
  <si>
    <t>Redis distributed lock is non-negotiable. Must be tested with 100 concurrent users.</t>
  </si>
  <si>
    <t>booking,backend,redis,slot-lock</t>
  </si>
  <si>
    <t>US-020</t>
  </si>
  <si>
    <t>As the platform, I want a booking state machine with defined transitions so booking status is always consistent and auditable.</t>
  </si>
  <si>
    <t>1. States: PENDING_PAYMENT → CONFIRMED → COMPLETED | CANCELLED_BY_CONSUMER | CANCELLED_BY_BUSINESS | NO_SHOW | DISPUTED.
2. Invalid transitions return HTTP 409.
3. Every state change is logged with timestamp and reason.
4. State visible on business dashboard and consumer booking history.
5. State drives all notification triggers.</t>
  </si>
  <si>
    <t>Backend — Booking Service</t>
  </si>
  <si>
    <t>State machine must be unit-tested with all transition paths.</t>
  </si>
  <si>
    <t>booking,backend,state-machine</t>
  </si>
  <si>
    <t>US-021</t>
  </si>
  <si>
    <t>As a consumer, I want to reschedule my booking to a different slot so I don't have to cancel and rebook.</t>
  </si>
  <si>
    <t>1. Reschedule available only if: new slot available AND original booking is outside cancellation window.
2. Original deposit transfers to new booking.
3. Reschedule limit: 2 times per booking.
4. Third attempt: shown 'Cancel and rebook' option.
5. Business receives WhatsApp notification of reschedule.</t>
  </si>
  <si>
    <t>My Bookings — Reschedule Flow</t>
  </si>
  <si>
    <t>Deposit transfer logic: escrow updated to new booking_id.</t>
  </si>
  <si>
    <t>booking,consumer,reschedule</t>
  </si>
  <si>
    <t>US-022</t>
  </si>
  <si>
    <t>As a consumer, I want to cancel my booking and understand whether I get a refund so I can make an informed decision.</t>
  </si>
  <si>
    <t>1. Cancel outside window: full deposit refund shown, confirm CTA shown.
2. Cancel inside window: policy shown ('العربون لن يُسترد'), confirm CTA with destructive style.
3. Cancellation reason optional dropdown (changed mind, emergency, other).
4. Refund initiated same day.
5. WhatsApp confirmation sent with refund amount and ETA.</t>
  </si>
  <si>
    <t>My Bookings — Cancel Flow</t>
  </si>
  <si>
    <t>US-020,EP-04,EP-05</t>
  </si>
  <si>
    <t>Cancellation window is set per-business (default 24h).</t>
  </si>
  <si>
    <t>booking,consumer,cancellation</t>
  </si>
  <si>
    <t>US-023</t>
  </si>
  <si>
    <t>As the platform, I want conflict detection to prevent double-booking a slot, stylist, or consumer time so booking integrity is maintained.</t>
  </si>
  <si>
    <t>1. Slot capacity exceeded: hard block, HTTP 409, show alternatives.
2. Staff double-booking (salon): hard block, show next available slot for that staff.
3. Consumer booking same time at two businesses: soft warning, allow override.
4. All checks happen within slot hold acquisition (atomic with Redis lock).
5. Conflicts logged for ops review.</t>
  </si>
  <si>
    <t>Backend — Conflict Detection</t>
  </si>
  <si>
    <t>Conflicts must be tested in load tests.</t>
  </si>
  <si>
    <t>booking,backend,conflict-detection</t>
  </si>
  <si>
    <t>US-024</t>
  </si>
  <si>
    <t>As a business owner, I want to add a manual booking for a walk-in or phone call so all my bookings are in one place.</t>
  </si>
  <si>
    <t>1. Dashboard 'Add manual booking' button.
2. Fields: slot selection, guest name, guest phone, party size, deposit waived toggle.
3. Manual booking shown in same calendar view as online bookings.
4. Deposit waived = no payment collected; escrow not created.
5. Guest NOT notified (manual booking is internal record).</t>
  </si>
  <si>
    <t>Business Dashboard — Manual Booking</t>
  </si>
  <si>
    <t>US-020,EP-07</t>
  </si>
  <si>
    <t>Walk-in bookings are common in Egypt. Essential for business adoption.</t>
  </si>
  <si>
    <t>booking,business,manual</t>
  </si>
  <si>
    <t>US-025</t>
  </si>
  <si>
    <t>As a consumer, I want to receive a booking reference immediately after confirmation so I can identify my booking.</t>
  </si>
  <si>
    <t>1. Booking ref format: BK-YYYYMMDD-XXXXX (5-char alphanumeric, unique).
2. Shown on confirmation screen in monospace font.
3. Included in WhatsApp confirmation.
4. Searchable in My Bookings.
5. Business sees same ref in dashboard.</t>
  </si>
  <si>
    <t>Confirmation Screen</t>
  </si>
  <si>
    <t>5-char suffix generated with UUID truncation + collision check.</t>
  </si>
  <si>
    <t>booking,consumer,confirmation</t>
  </si>
  <si>
    <t>US-026</t>
  </si>
  <si>
    <t>As a consumer, I want to view all my upcoming and past bookings in one place so I can manage my schedule.</t>
  </si>
  <si>
    <t>1. 'My Bookings' tab: Upcoming and Past sub-tabs.
2. Each booking card shows: business name, date/time, status badge, booking ref.
3. Upcoming: reschedule + cancel actions.
4. Past: review CTA if not yet reviewed.
5. Empty state Arabic copy per tab.</t>
  </si>
  <si>
    <t>My Bookings Screen</t>
  </si>
  <si>
    <t>Standard list view. Pagination after 20 items.</t>
  </si>
  <si>
    <t>booking,consumer,history</t>
  </si>
  <si>
    <t>US-027</t>
  </si>
  <si>
    <t>As a business owner, I want to configure my availability calendar with operating hours, slot duration, and capacity so only correct slots are shown to consumers.</t>
  </si>
  <si>
    <t>1. Day-by-day operating hours (open/close time per day).
2. Slot duration: 60/90/120 min (restaurant default: 90).
3. Simultaneous capacity per slot (number of tables/chairs).
4. Blackout dates (e.g., Eid closure).
5. Changes take effect from the NEXT calendar day.</t>
  </si>
  <si>
    <t>Business Dashboard — Availability Setup</t>
  </si>
  <si>
    <t>US-005,EP-07</t>
  </si>
  <si>
    <t>Critical for Phase 1 launch. Business must configure before going live.</t>
  </si>
  <si>
    <t>booking,business,availability</t>
  </si>
  <si>
    <t>US-028</t>
  </si>
  <si>
    <t>As a salon owner, I want to assign services to specific staff members so consumers can only book the right person for each service.</t>
  </si>
  <si>
    <t>1. Staff management screen: add staff name, photo, specialisations.
2. Service list: assign each service to one or more staff.
3. Booking engine only shows staff available for selected service.
4. Staff cannot be double-booked (enforced by conflict detection).
5. Staff can be deactivated (hides from consumer, preserves history).</t>
  </si>
  <si>
    <t>Business Dashboard — Staff &amp; Services</t>
  </si>
  <si>
    <t>US-027,EP-07</t>
  </si>
  <si>
    <t>Salon category only. Core differentiation of salon journey.</t>
  </si>
  <si>
    <t>booking,business,salon,staff</t>
  </si>
  <si>
    <t>US-029</t>
  </si>
  <si>
    <t>As a consumer, I want to pay my booking deposit using InstaPay, card, Fawry, or Vodafone Cash so I can use my preferred payment method.</t>
  </si>
  <si>
    <t>1. Payment screen shows: InstaPay, Meeza card, Visa/Mastercard, Fawry, Vodafone Cash.
2. All methods integrated via Paymob.
3. Currency: EGP only.
4. Payment amount clearly shown: deposit + platform booking fee (itemised).
5. Processing indicator during payment.
6. Success: booking confirmed. Failure: retry or change method.</t>
  </si>
  <si>
    <t>Payments</t>
  </si>
  <si>
    <t>Payment Screen</t>
  </si>
  <si>
    <t>US-019,EP-03</t>
  </si>
  <si>
    <t>Paymob sandbox from Day 1. Production account requires 2-week approval.</t>
  </si>
  <si>
    <t>payment,consumer,paymob,instapay</t>
  </si>
  <si>
    <t>US-030</t>
  </si>
  <si>
    <t>As the platform, I want to hold all consumer deposits in escrow until the booking is completed so both parties are protected.</t>
  </si>
  <si>
    <t>1. Deposit held in Paymob escrow on booking confirmation.
2. NOT transferred to business until booking is COMPLETED.
3. On COMPLETED: payout triggered within 48 hours via Paymob disbursement.
4. On cancellation outside window: full refund to consumer within 3–5 business days.
5. All escrow movements logged in payments table.</t>
  </si>
  <si>
    <t>Backend — Escrow Service</t>
  </si>
  <si>
    <t>Paymob handles escrow. Platform manages the trigger logic.</t>
  </si>
  <si>
    <t>payment,backend,escrow,paymob</t>
  </si>
  <si>
    <t>US-031</t>
  </si>
  <si>
    <t>As a consumer, I want to store my card on file so future no-show protection works without requiring upfront payment.</t>
  </si>
  <si>
    <t>1. 'Save card for no-show protection' option at checkout.
2. Card tokenised via Paymob (PCI-DSS compliant — no raw card data on platform).
3. Token stored in users table.
4. Charged only if no-show detected.
5. User can remove saved card from profile settings.</t>
  </si>
  <si>
    <t>Checkout — Card on File</t>
  </si>
  <si>
    <t>Critical for no-show protection on businesses that don't require upfront deposit.</t>
  </si>
  <si>
    <t>payment,consumer,card-on-file,security</t>
  </si>
  <si>
    <t>US-032</t>
  </si>
  <si>
    <t>As a consumer, I want to receive an Arabic receipt after payment so I have a record of my transaction.</t>
  </si>
  <si>
    <t>1. Receipt sent to consumer WhatsApp within 30 seconds of payment.
2. Receipt shows: booking ref, business name, amount paid (deposit + fee), refund policy.
3. Receipt also downloadable from booking detail screen as PDF.
4. All amounts in EGP with Arabic numeral option.
5. Receipt in Arabic with English option.</t>
  </si>
  <si>
    <t>Confirmation Screen — Receipt</t>
  </si>
  <si>
    <t>US-029,EP-06</t>
  </si>
  <si>
    <t>PDF generation via server-side rendering.</t>
  </si>
  <si>
    <t>payment,consumer,receipt</t>
  </si>
  <si>
    <t>US-033</t>
  </si>
  <si>
    <t>As a business owner, I want to set a deposit amount and cancellation window so my no-show protection rules are clear to consumers.</t>
  </si>
  <si>
    <t>1. Deposit amount: fixed EGP amount OR percentage of service value (business's choice).
2. Cancellation window: hours before booking (default: 24).
3. Policy preview shown exactly as consumers will see it.
4. Policy changes apply to NEW bookings only (existing bookings grandfathered).
5. Platform fee (EGP 15–50 by category) shown separately from deposit.</t>
  </si>
  <si>
    <t>Business Dashboard — Deposit Config</t>
  </si>
  <si>
    <t>Policy clarity is the #1 driver of consumer trust in the deposit model.</t>
  </si>
  <si>
    <t>payment,business,deposit,policy</t>
  </si>
  <si>
    <t>US-034</t>
  </si>
  <si>
    <t>As the platform, I want to process refunds automatically when a consumer cancels outside the window so no manual ops intervention is required.</t>
  </si>
  <si>
    <t>1. On cancel (outside window): refund triggered automatically via Paymob refund API.
2. Consumer receives WhatsApp confirmation of refund + ETA.
3. InstaPay/Fawry: credited to platform wallet (consumer can withdraw).
4. Card: refunded to original card (3–5 business days).
5. Refund record in payments table with status and settled_at.</t>
  </si>
  <si>
    <t>Backend — Refund Service</t>
  </si>
  <si>
    <t>US-029,US-030</t>
  </si>
  <si>
    <t>Idempotency: refund webhook must not double-refund on retry.</t>
  </si>
  <si>
    <t>payment,backend,refund</t>
  </si>
  <si>
    <t>US-035</t>
  </si>
  <si>
    <t>As the platform, I want to verify all Paymob webhooks with HMAC-SHA512 so no fraudulent payment events are processed.</t>
  </si>
  <si>
    <t>1. HMAC secret stored in environment variable (never in code).
2. All incoming webhooks verified before processing.
3. Invalid HMAC: reject with 401, alert ops via CloudWatch.
4. Idempotency: check payments table for existing transaction before processing.
5. Webhook retry from Paymob must not create duplicate records.</t>
  </si>
  <si>
    <t>Backend — Payment Security</t>
  </si>
  <si>
    <t>Security-critical. Must be pen-tested before launch.</t>
  </si>
  <si>
    <t>payment,backend,security,webhook</t>
  </si>
  <si>
    <t>US-036</t>
  </si>
  <si>
    <t>As a business owner, I want to receive daily payouts to my bank account or Paymob wallet so I get my money reliably.</t>
  </si>
  <si>
    <t>1. Payout batch runs daily at 11pm Cairo time.
2. Minimum payout threshold: EGP 50.
3. Business can choose: Egyptian bank transfer or Paymob wallet.
4. Payout statement available in dashboard analytics.
5. Failed payouts trigger WhatsApp alert to business owner.</t>
  </si>
  <si>
    <t>Business Dashboard — Payouts</t>
  </si>
  <si>
    <t>Below threshold: amounts accumulate to next batch.</t>
  </si>
  <si>
    <t>payment,business,payout</t>
  </si>
  <si>
    <t>US-037</t>
  </si>
  <si>
    <t>As the platform, I want to collect the booking fee (EGP 15–50) immediately at checkout so platform revenue is never at risk of refund.</t>
  </si>
  <si>
    <t>1. Booking fee charged at same time as deposit (single Paymob transaction).
2. Fee is NON-REFUNDABLE even on cancellation outside window.
3. Fee breakdown shown to consumer on summary screen: 'رسوم الحجز: X ج.م'.
4. Fee amount by category: restaurant EGP 25, salon EGP 15, court EGP 35, gaming EGP 20, car wash EGP 20.
5. Fee settled immediately (not held in escrow).</t>
  </si>
  <si>
    <t>Backend — Fee Collection</t>
  </si>
  <si>
    <t>Fee is separate from deposit in payments table. Different escrow_status.</t>
  </si>
  <si>
    <t>payment,backend,platform-fee</t>
  </si>
  <si>
    <t>US-038</t>
  </si>
  <si>
    <t>As the platform, I want a scheduled job to detect no-shows every 15 minutes so businesses are protected without manual intervention.</t>
  </si>
  <si>
    <t>1. Job runs every 15 minutes via AWS EventBridge Scheduler.
2. Queries: bookings WHERE status='confirmed' AND start_time &lt; NOW()-30min AND completed_at IS NULL.
3. For each match: status → NO_SHOW, no_show_detected_at = NOW().
4. Triggers penalty split, consumer notification, business notification.
5. Increments user.no_show_count. If ≥3: sets deposit_mandatory=true.</t>
  </si>
  <si>
    <t>No-Show</t>
  </si>
  <si>
    <t>Backend — No-Show Detection Job</t>
  </si>
  <si>
    <t>US-020,EP-04</t>
  </si>
  <si>
    <t>Detection window: 30 minutes after slot start. Business can still manually mark attended before job fires.</t>
  </si>
  <si>
    <t>no-show,backend,cron</t>
  </si>
  <si>
    <t>US-039</t>
  </si>
  <si>
    <t>As the platform, I want to automatically split the no-show penalty (75% business / 25% platform) so both parties are compensated without manual work.</t>
  </si>
  <si>
    <t>1. On NO_SHOW status: deposit split executed automatically.
2. Business payout: 75% queued for 48-hour settlement.
3. Platform retention: 25% settled immediately.
4. If card-on-file (no upfront deposit): card charged for no-show fee then split.
5. Two payment records created: business_payout + platform_retention.</t>
  </si>
  <si>
    <t>Backend — Penalty Split</t>
  </si>
  <si>
    <t>US-038,EP-04</t>
  </si>
  <si>
    <t>Paymob handles the split settlement.</t>
  </si>
  <si>
    <t>no-show,backend,penalty</t>
  </si>
  <si>
    <t>US-040</t>
  </si>
  <si>
    <t>As a consumer, I want a 24-hour dispute window after a no-show penalty so I can challenge an unfair charge.</t>
  </si>
  <si>
    <t>1. WhatsApp notification includes dispute link valid for 24 hours.
2. Dispute form: reason dropdown + optional description.
3. Submitting dispute: status → DISPUTED, all payouts paused.
4. Ops SLA: 72 hours to review and resolve.
5. Consumer notified of outcome via WhatsApp.</t>
  </si>
  <si>
    <t>Consumer App — Dispute Flow</t>
  </si>
  <si>
    <t>US-038,EP-06,EP-09</t>
  </si>
  <si>
    <t>Dispute pauses payout. Ops resolves in admin console.</t>
  </si>
  <si>
    <t>no-show,consumer,dispute</t>
  </si>
  <si>
    <t>US-041</t>
  </si>
  <si>
    <t>As an ops admin, I want to review disputed no-show charges and issue resolutions so consumers and businesses are treated fairly.</t>
  </si>
  <si>
    <t>1. Disputes queue in admin console.
2. Each dispute shows: booking record, no-show timestamp, payment trail, consumer reason.
3. Resolution options: Uphold charge (business keeps 75%), Reverse charge (full consumer refund), Partial refund (custom split).
4. Resolution triggers payment execution.
5. Both parties notified via WhatsApp of outcome.</t>
  </si>
  <si>
    <t>Admin Console — Dispute Resolution</t>
  </si>
  <si>
    <t>US-040,EP-09</t>
  </si>
  <si>
    <t>Ops resolves within 72-hour SLA.</t>
  </si>
  <si>
    <t>no-show,admin,dispute</t>
  </si>
  <si>
    <t>US-042</t>
  </si>
  <si>
    <t>As the platform, I want to flag repeat no-show consumers as deposit-mandatory so businesses are protected from serial offenders.</t>
  </si>
  <si>
    <t>1. user.no_show_count incremented on each NO_SHOW status.
2. At no_show_count ≥ 3: user.deposit_mandatory = true.
3. Deposit-mandatory users cannot use card-on-file option.
4. Flag visible to business owner in booking details.
5. Flag cannot be cleared by consumer (ops only).</t>
  </si>
  <si>
    <t>Backend — No-Show Flag</t>
  </si>
  <si>
    <t>Protects businesses without blocking consumers entirely.</t>
  </si>
  <si>
    <t>no-show,backend,consumer-reputation</t>
  </si>
  <si>
    <t>US-043</t>
  </si>
  <si>
    <t>As a consumer, I want to cancel my booking within the policy window and understand my refund clearly so there are no surprises.</t>
  </si>
  <si>
    <t>1. Cancellation button in booking detail.
2. IF outside cancellation window: 'You will receive a full refund of X EGP' shown.
3. IF inside cancellation window: 'This cancellation will forfeit your deposit of X EGP' shown in red with policy explanation.
4. Confirmation requires explicit 'Yes, cancel' tap on destructive button.
5. Both scenarios trigger correct payment flow (US-034 or no-show split).</t>
  </si>
  <si>
    <t>My Bookings — Cancellation Screen</t>
  </si>
  <si>
    <t>US-022,US-039</t>
  </si>
  <si>
    <t>Cancellation inside window uses same 75/25 split as no-show.</t>
  </si>
  <si>
    <t>no-show,consumer,cancellation</t>
  </si>
  <si>
    <t>US-044</t>
  </si>
  <si>
    <t>As a business owner, I want to mark a booking as attended or no-show from my dashboard so the escrow release or penalty is triggered correctly.</t>
  </si>
  <si>
    <t>1. Each booking in calendar has 'Mark Attended' and 'Mark No-Show' buttons.
2. Mark Attended: status → COMPLETED, escrow release triggered.
3. Mark No-Show: status → NO_SHOW, penalty split triggered (same as automated detection).
4. Buttons hidden after status is set.
5. Business cannot change status after setting it (ops only).</t>
  </si>
  <si>
    <t>Business Dashboard — Booking Actions</t>
  </si>
  <si>
    <t>US-020,US-039,EP-07</t>
  </si>
  <si>
    <t>Manual mark takes priority over the detection job.</t>
  </si>
  <si>
    <t>no-show,business,attendance</t>
  </si>
  <si>
    <t>US-045</t>
  </si>
  <si>
    <t>As a consumer, I want to receive a WhatsApp booking confirmation within 30 seconds of payment so I have immediate proof of my booking.</t>
  </si>
  <si>
    <t>1. WhatsApp sent within 30 seconds of CONFIRMED status.
2. Template: booking_confirmation_ar (pre-approved WABA template).
3. Contains: business name AR, date/time AR, booking ref, address, cancel link.
4. If WhatsApp undelivered after 60 seconds: SMS fallback via Twilio.
5. Notification record in database with provider_message_id.</t>
  </si>
  <si>
    <t>WhatsApp — Booking Confirmation</t>
  </si>
  <si>
    <t>US-020,US-029</t>
  </si>
  <si>
    <t>WABA template must be submitted and approved before launch (2–4 weeks).</t>
  </si>
  <si>
    <t>notifications,consumer,whatsapp,confirmation</t>
  </si>
  <si>
    <t>US-046</t>
  </si>
  <si>
    <t>As a consumer, I want a WhatsApp reminder 24 hours before my booking and a push reminder 2 hours before so I never forget.</t>
  </si>
  <si>
    <t>1. 24-hour reminder: WhatsApp with business name, time, address, reschedule/cancel link.
2. 2-hour reminder: push notification (FCM) with business name and time.
3. Both suppressed if booking already cancelled.
4. User can opt out of reminders in profile settings.
5. Reminders queued when booking is confirmed (scheduled via EventBridge).</t>
  </si>
  <si>
    <t>Scheduled Reminders</t>
  </si>
  <si>
    <t>EventBridge schedules both reminders at booking confirmation time.</t>
  </si>
  <si>
    <t>notifications,consumer,reminders</t>
  </si>
  <si>
    <t>US-047</t>
  </si>
  <si>
    <t>As a consumer, I want a WhatsApp review prompt 2 hours after my visit so I can easily share my experience.</t>
  </si>
  <si>
    <t>1. Sent 2 hours after booking slot end time.
2. Only sent if booking status = COMPLETED.
3. Single-tap star rating link (opens in-app review screen).
4. Template: review_prompt_ar.
5. Only one review prompt per booking.</t>
  </si>
  <si>
    <t>WhatsApp — Review Prompt</t>
  </si>
  <si>
    <t>US-045,EP-10</t>
  </si>
  <si>
    <t>Review prompt is the trigger for the entire review loop.</t>
  </si>
  <si>
    <t>notifications,consumer,review</t>
  </si>
  <si>
    <t>US-048</t>
  </si>
  <si>
    <t>As a consumer, I want an in-app and WhatsApp notification when a no-show penalty is charged so I understand what happened.</t>
  </si>
  <si>
    <t>1. WhatsApp sent within 5 minutes of NO_SHOW status.
2. Shows: business name, penalty amount, 24-hour dispute link.
3. Push notification also sent simultaneously.
4. Notification tone is informational, not accusatory.
5. Opt-out NOT available for penalty notifications.</t>
  </si>
  <si>
    <t>WhatsApp — No-Show Alert</t>
  </si>
  <si>
    <t>US-038,EP-05</t>
  </si>
  <si>
    <t>Cannot be opt-out — financial notification.</t>
  </si>
  <si>
    <t>notifications,consumer,no-show</t>
  </si>
  <si>
    <t>US-049</t>
  </si>
  <si>
    <t>As a business owner, I want push notifications on my dashboard for new bookings, cancellations, and upcoming bookings so I can manage my operations in real time.</t>
  </si>
  <si>
    <t>1. New booking: dashboard push + sound (if app is open).
2. Cancellation: dashboard push + optional SMS.
3. Upcoming booking (2h before): dashboard push.
4. No-show detected: push + email.
5. Business can configure notification preferences in settings.</t>
  </si>
  <si>
    <t>Business Dashboard — Notifications</t>
  </si>
  <si>
    <t>Dashboard push via FCM (PWA push notifications).</t>
  </si>
  <si>
    <t>notifications,business,dashboard</t>
  </si>
  <si>
    <t>US-050</t>
  </si>
  <si>
    <t>As the platform, I want all notifications to go through an SQS queue with dead-letter handling so no notification is lost even if a provider is down.</t>
  </si>
  <si>
    <t>1. All notifications enqueued in AWS SQS FIFO queue.
2. Workers (WhatsApp, SMS, Push) poll queue and process.
3. Failed delivery: retry with exponential backoff (1s, 2s, 4s).
4. After 3 failures: message moves to Dead Letter Queue.
5. DLQ alerts ops via CloudWatch alarm within 5 minutes.</t>
  </si>
  <si>
    <t>Backend — Notification Queue</t>
  </si>
  <si>
    <t>Decoupled notification architecture prevents booking engine from failing on notification errors.</t>
  </si>
  <si>
    <t>notifications,backend,sqs,infrastructure</t>
  </si>
  <si>
    <t>US-051</t>
  </si>
  <si>
    <t>As a business owner, I want to receive a 'car is ready' notification trigger so I can notify the customer when their car wash is complete.</t>
  </si>
  <si>
    <t>1. Dashboard: 'Mark Ready' button on car wash booking.
2. Tapping Mark Ready: triggers WhatsApp to consumer ('سيارتك جاهزة للاستلام').
3. Template: car_ready_ar.
4. Notification sent within 30 seconds.
5. Button replaced with 'Mark Completed' after Mark Ready.</t>
  </si>
  <si>
    <t>Car Wash Dashboard — Ready Notification</t>
  </si>
  <si>
    <t>US-049,EP-13</t>
  </si>
  <si>
    <t>Car wash category only. Phase 2.</t>
  </si>
  <si>
    <t>notifications,business,car-wash</t>
  </si>
  <si>
    <t>US-052</t>
  </si>
  <si>
    <t>As the platform, I want all WhatsApp Business API template messages to be submitted and approved before launch so we can send notifications from Day 1.</t>
  </si>
  <si>
    <t>1. Submit to Meta/360dialog: booking_confirmation_ar, reminder_24h_ar, reminder_2h_push, review_prompt_ar, no_show_consumer_ar, no_show_business_ar, cancellation_confirmed_ar, business_cancelled_ar.
2. Approval target: 48 hours per template.
3. Fallback: if template rejected, resubmit within 24 hours.
4. All templates bilingual (Arabic primary).
5. Approval confirmed before production WABA goes live.</t>
  </si>
  <si>
    <t>WABA — Template Approval</t>
  </si>
  <si>
    <t>Submit templates at Week 1 of development. 2–4 week Meta approval process.</t>
  </si>
  <si>
    <t>notifications,backend,waba,meta</t>
  </si>
  <si>
    <t>US-053</t>
  </si>
  <si>
    <t>As a business owner, I want a calendar view showing all today's and this week's bookings so I can brief my team at the start of each shift.</t>
  </si>
  <si>
    <t>1. Day view (default) and week view toggle.
2. Each booking shown as coloured block: guest name, party size, time.
3. Booking status colour-coded: confirmed (blue), completed (green), no-show (red).
4. Tapping block opens booking detail sheet.
5. Calendar RTL: Sunday on right, text right-aligned.
6. Business owner can block time slots from the calendar.</t>
  </si>
  <si>
    <t>Dashboard — Calendar View</t>
  </si>
  <si>
    <t>US-027,EP-03</t>
  </si>
  <si>
    <t>Tablet-first design. Multi-column view for salon (one column per stylist).</t>
  </si>
  <si>
    <t>dashboard,business,calendar</t>
  </si>
  <si>
    <t>US-054</t>
  </si>
  <si>
    <t>As a business owner, I want an analytics dashboard showing bookings, deposit revenue, no-shows prevented, and revenue protected so I can measure my ROI from the platform.</t>
  </si>
  <si>
    <t>1. 4 summary metric cards: total bookings, deposit revenue (EGP), no-shows prevented, revenue protected.
2. Bookings trend line chart (last 30 days).
3. Revenue breakdown bar chart by week.
4. No-show rate vs platform average.
5. Date range filter: last 7/30/90 days.
6. Arabic labels, EGP amounts with Arabic numerals.</t>
  </si>
  <si>
    <t>Dashboard — Analytics</t>
  </si>
  <si>
    <t>This is the Day-14 retention anchor — the report that proves platform ROI.</t>
  </si>
  <si>
    <t>dashboard,business,analytics</t>
  </si>
  <si>
    <t>US-055</t>
  </si>
  <si>
    <t>As a business owner, I want to view full booking details (guest info, occasion, special requests) so I can prepare appropriately.</t>
  </si>
  <si>
    <t>1. Booking detail: guest name, phone (masked), party size, occasion, special requests, deposit status, booking ref, slot time.
2. Phone: tap to call.
3. Mark Attended / Mark No-Show buttons (if slot is today and in the past 30 min).
4. Cancel booking (business-initiated): triggers full consumer refund.
5. Note field: business can add internal notes to any booking.</t>
  </si>
  <si>
    <t>Dashboard — Booking Detail</t>
  </si>
  <si>
    <t>US-053,US-054</t>
  </si>
  <si>
    <t>Phone masking: show last 4 digits only until owner taps 'Reveal'.</t>
  </si>
  <si>
    <t>dashboard,business,booking-detail</t>
  </si>
  <si>
    <t>US-056</t>
  </si>
  <si>
    <t>As a business owner, I want to update my operating hours and block specific dates so my availability calendar is always accurate.</t>
  </si>
  <si>
    <t>1. Settings screen: operating hours per day (open/close toggle + time picker).
2. Bulk copy: apply Mon to all weekdays.
3. Blackout dates: tap dates on calendar to block.
4. Changes take effect from NEXT calendar day (no retroactive changes to confirmed bookings).
5. Change confirmation: 'تم الحفظ' toast.</t>
  </si>
  <si>
    <t>Dashboard — Availability Settings</t>
  </si>
  <si>
    <t>Real-time calendar update after saving.</t>
  </si>
  <si>
    <t>dashboard,business,availability</t>
  </si>
  <si>
    <t>US-057</t>
  </si>
  <si>
    <t>As a salon owner, I want to manage my staff profiles so consumers can select and book specific stylists.</t>
  </si>
  <si>
    <t>1. Staff list: add/edit/deactivate staff.
2. Each staff: name, photo, specialisations (linked services).
3. Deactivated staff: hidden from consumer, existing bookings preserved.
4. Staff utilisation shown in analytics.
5. Staff calendar: day view per staff member on dashboard.</t>
  </si>
  <si>
    <t>Dashboard — Staff Management</t>
  </si>
  <si>
    <t>US-028,EP-03</t>
  </si>
  <si>
    <t>Salon category only.</t>
  </si>
  <si>
    <t>dashboard,business,salon,staff</t>
  </si>
  <si>
    <t>US-058</t>
  </si>
  <si>
    <t>As a business owner, I want to manage my service menu with prices and durations so consumers see accurate booking options.</t>
  </si>
  <si>
    <t>1. Service list: name AR+EN, price (EGP), duration (minutes).
2. Add/edit/deactivate services.
3. Services assignable to specific staff (salon).
4. Price changes apply to NEW bookings only.
5. Deactivated services hidden from consumer booking journey.</t>
  </si>
  <si>
    <t>Dashboard — Service Menu</t>
  </si>
  <si>
    <t>Applicable to salon and car wash categories.</t>
  </si>
  <si>
    <t>dashboard,business,services</t>
  </si>
  <si>
    <t>US-059</t>
  </si>
  <si>
    <t>As a business owner, I want to see a daily revenue summary email so I can track performance without opening the dashboard.</t>
  </si>
  <si>
    <t>1. Daily email at 9am Cairo time.
2. Shows: bookings yesterday, deposit revenue, no-shows, EGP collected.
3. 'View full analytics' CTA link.
4. Email in Arabic.
5. Can be disabled in notification settings.</t>
  </si>
  <si>
    <t>Email — Daily Summary</t>
  </si>
  <si>
    <t>US-054,EP-06</t>
  </si>
  <si>
    <t>Email via SES or SendGrid. Arabic HTML email template.</t>
  </si>
  <si>
    <t>dashboard,business,email,reporting</t>
  </si>
  <si>
    <t>US-060</t>
  </si>
  <si>
    <t>As a restaurant owner, I want to configure seating sections (indoor, outdoor, private room) and their capacities so consumers can choose their preference.</t>
  </si>
  <si>
    <t>1. Sections config: add section name, capacity, and whether it is bookable (or walk-in only).
2. Consumer sees section preference on booking journey step 4.
3. Each section is a resource type — booking assigned to section, not just slot.
4. Analytics: occupancy per section.
5. Sections can be added/removed without disrupting existing bookings.</t>
  </si>
  <si>
    <t>Dashboard — Sections Config</t>
  </si>
  <si>
    <t>Restaurant category only.</t>
  </si>
  <si>
    <t>dashboard,business,restaurant,sections</t>
  </si>
  <si>
    <t>US-061</t>
  </si>
  <si>
    <t>As a multi-branch business owner (Growth tier), I want to switch between branches from a single login so I can manage all locations efficiently.</t>
  </si>
  <si>
    <t>1. Branch switcher in dashboard header.
2. All availability, bookings, and analytics are branch-scoped.
3. Consolidated analytics view: all branches combined.
4. Staff are branch-specific (not shared).
5. Available on Growth and Pro tiers only.</t>
  </si>
  <si>
    <t>Dashboard — Multi-Branch</t>
  </si>
  <si>
    <t>US-005,US-054</t>
  </si>
  <si>
    <t>Growth tier feature. Upsell prompt shown on Starter tier.</t>
  </si>
  <si>
    <t>dashboard,business,multi-branch</t>
  </si>
  <si>
    <t>US-062</t>
  </si>
  <si>
    <t>As a new business owner, I want a guided onboarding checklist so I know exactly what to set up before going live.</t>
  </si>
  <si>
    <t>1. First-login checklist: profile complete, photos added, operating hours set, deposit rules set, first slot published.
2. Progress indicator (e.g., 3/5 complete).
3. Each item links directly to the relevant settings screen.
4. Checklist dismissed after all items complete or after 30 days.
5. Checklist in Arabic.</t>
  </si>
  <si>
    <t>Dashboard — Onboarding Checklist</t>
  </si>
  <si>
    <t>Reduces Day-1 churn. Simple UX win.</t>
  </si>
  <si>
    <t>dashboard,business,onboarding</t>
  </si>
  <si>
    <t>US-063</t>
  </si>
  <si>
    <t>As a consumer, I want a fully Arabic RTL interface so the app feels native to Egyptian users and not a translated foreign product.</t>
  </si>
  <si>
    <t>1. All screens render RTL by default.
2. Arabic is the default language on first install.
3. Back arrow on LEFT side of nav header (RTL standard).
4. Arabic-Indic numerals (٠١٢٣) used for all UI counts (party size, slot times, ratings).
5. Western numerals used ONLY for booking refs, EGP amounts inline in Arabic text, and phone numbers.
6. Progress fills right-to-left.
7. Animations: screens slide in from left (RTL convention).</t>
  </si>
  <si>
    <t>All Screens</t>
  </si>
  <si>
    <t>Arabic RTL is the #1 non-negotiable design constraint. All screens audited by native Arabic speaker before launch.</t>
  </si>
  <si>
    <t>consumer-app,rtl,arabic,accessibility</t>
  </si>
  <si>
    <t>US-064</t>
  </si>
  <si>
    <t>As a consumer, I want the app to show skeleton screens instead of spinners so loading feels fast even on slow connections.</t>
  </si>
  <si>
    <t>1. All list views and profile screens show skeleton on load.
2. Skeleton matches the layout of the loaded content.
3. Skeleton fills are right-aligned for RTL layouts.
4. Skeleton dismissed when first data chunk received (progressive loading).
5. No spinner used for content loading (spinners only for action processing).</t>
  </si>
  <si>
    <t>All Loading States</t>
  </si>
  <si>
    <t>Egyptian 4G has intermittent drops. Perceived performance critical.</t>
  </si>
  <si>
    <t>consumer-app,ux,loading,performance</t>
  </si>
  <si>
    <t>US-065</t>
  </si>
  <si>
    <t>As a consumer, I want the app to show helpful Arabic empty states so I always understand what to do next.</t>
  </si>
  <si>
    <t>1. Empty states required for: No bookings (upcoming + past), No search results, No internet connection, Profile incomplete.
2. Each has: illustration (max 160px), Arabic heading, Arabic body copy, primary CTA button.
3. No internet: 'لا يوجد اتصال بالإنترنت' with retry button.
4. No search results: 'لا توجد نتائج' with 'عدّل البحث' CTA.
5. Empty states reviewed by native Arabic speaker.</t>
  </si>
  <si>
    <t>All Empty States</t>
  </si>
  <si>
    <t>Empty states prevent user confusion and abandonment.</t>
  </si>
  <si>
    <t>consumer-app,ux,empty-states</t>
  </si>
  <si>
    <t>US-066</t>
  </si>
  <si>
    <t>As a consumer, I want the app to work correctly on common Egyptian Android devices so I can use it without issues.</t>
  </si>
  <si>
    <t>1. Tested on: Samsung Galaxy A54, Xiaomi Redmi Note 12, OPPO A78.
2. No layout breaks on any tested device.
3. Arabic font renders correctly on Android (Cairo variable font).
4. RTL scrolling correct on all tested devices.
5. Push notifications work on all tested devices.</t>
  </si>
  <si>
    <t>QA — Device Testing</t>
  </si>
  <si>
    <t>Egypt's #1 Android market share: Samsung (40%), Xiaomi (22%), OPPO (12%).</t>
  </si>
  <si>
    <t>consumer-app,qa,android,devices</t>
  </si>
  <si>
    <t>US-067</t>
  </si>
  <si>
    <t>As a consumer on iOS, I want to sign in with Apple so I can use the app without creating a new account.</t>
  </si>
  <si>
    <t>1. Apple Sign-In shown on iOS per App Store requirement.
2. Apple ID name and email pre-fill profile.
3. Privacy email relay supported.
4. Silent login on app relaunch.
5. Apple Sign-In button styled per Apple HIG guidelines.</t>
  </si>
  <si>
    <t>iOS — Apple Sign-In</t>
  </si>
  <si>
    <t>Apple Sign-In mandatory if any social login is offered on iOS.</t>
  </si>
  <si>
    <t>consumer-app,ios,apple-sign-in</t>
  </si>
  <si>
    <t>US-068</t>
  </si>
  <si>
    <t>As a consumer, I want to share my booking via WhatsApp so I can notify friends or save it for reference.</t>
  </si>
  <si>
    <t>1. 'Share booking' button on confirmation screen and booking detail.
2. Generates pre-formatted Arabic WhatsApp message: business name, date, time, booking ref.
3. Opens WhatsApp share sheet natively.
4. Message includes: 'حجزت في [business] يوم [date] الساعة [time] — رقم الحجز: [ref]'.
5. Works on iOS and Android.</t>
  </si>
  <si>
    <t>Confirmation Screen — Share</t>
  </si>
  <si>
    <t>WhatsApp sharing is the primary viral loop in Egypt.</t>
  </si>
  <si>
    <t>consumer-app,consumer,sharing,viral</t>
  </si>
  <si>
    <t>US-069</t>
  </si>
  <si>
    <t>As an ops admin, I want a real-time platform health dashboard so I can monitor booking volumes, error rates, and payment success rates.</t>
  </si>
  <si>
    <t>1. Dashboard shows: bookings/hour (live), payment success rate, no-show rate, MAU, active businesses, error rate (&lt; 0.1% SLA).
2. Metric cards update every 60 seconds.
3. Alert badges for any metric outside SLA thresholds.
4. Historical trends (last 7 days) per metric.
5. Access restricted to ops admin role.</t>
  </si>
  <si>
    <t>Admin — Platform Health</t>
  </si>
  <si>
    <t>Datadog powers the ops-level view. Admin console shows business-level view.</t>
  </si>
  <si>
    <t>admin,ops,monitoring,dashboard</t>
  </si>
  <si>
    <t>US-070</t>
  </si>
  <si>
    <t>As an ops admin, I want to view and approve or reject pending business registrations so only verified businesses appear on the platform.</t>
  </si>
  <si>
    <t>1. PENDING queue shows new business signups.
2. Each entry shows: name, category, district, photos, phone number.
3. Ops can call business to verify (phone click-to-call).
4. Approve: status → ACTIVE, WhatsApp notification sent.
5. Reject: reason required, WhatsApp notification with reason.
6. SLA alert if business pending &gt; 24 hours.</t>
  </si>
  <si>
    <t>Critical trust gate. No auto-approval in Phase 1.</t>
  </si>
  <si>
    <t>admin,ops,verification</t>
  </si>
  <si>
    <t>US-071</t>
  </si>
  <si>
    <t>As an ops admin, I want to manage dispute resolution with full payment trail so I can make fair decisions quickly.</t>
  </si>
  <si>
    <t>1. Disputes queue with: booking record, no-show timestamp, payment amounts, consumer reason.
2. Resolution actions: Uphold, Reverse, Partial refund (custom EGP amount).
3. Resolution comments required.
4. Payment execution triggered automatically on resolution.
5. Both parties notified via WhatsApp.
6. All resolutions logged with ops username and timestamp.</t>
  </si>
  <si>
    <t>Admin — Dispute Resolution</t>
  </si>
  <si>
    <t>US-040,US-041</t>
  </si>
  <si>
    <t>72-hour SLA. Disputed payouts paused until resolution.</t>
  </si>
  <si>
    <t>admin,ops,dispute</t>
  </si>
  <si>
    <t>US-072</t>
  </si>
  <si>
    <t>As an ops admin, I want to suspend or deactivate business accounts so I can remove bad actors from the platform.</t>
  </si>
  <si>
    <t>1. Suspend: business hidden from search, no new bookings possible.
2. Active bookings NOT cancelled on suspension (handled manually).
3. Suspension reason required.
4. Business notified via WhatsApp with reason.
5. Reactivation possible by Super Admin only.
6. Deactivation is permanent (soft delete, data preserved).</t>
  </si>
  <si>
    <t>Admin — Business Management</t>
  </si>
  <si>
    <t>Suspension vs deactivation distinction important for legal/ops.</t>
  </si>
  <si>
    <t>admin,ops,trust-safety</t>
  </si>
  <si>
    <t>US-073</t>
  </si>
  <si>
    <t>As an ops admin, I want to manually execute refunds for any booking so I can resolve edge cases the automated system can't handle.</t>
  </si>
  <si>
    <t>1. Admin can trigger refund on any booking.
2. Refund reason required.
3. Amount: full deposit or custom EGP amount.
4. Refunds above EGP 500 require Super Admin approval.
5. Refund logged in payments table with admin username.</t>
  </si>
  <si>
    <t>Admin — Manual Refunds</t>
  </si>
  <si>
    <t>Approval workflow for large refunds prevents fraud.</t>
  </si>
  <si>
    <t>admin,ops,refunds</t>
  </si>
  <si>
    <t>US-074</t>
  </si>
  <si>
    <t>As an ops admin, I want to manage featured listing slots so I can assign, schedule, and bill paid placements.</t>
  </si>
  <si>
    <t>1. Featured listing slots: per category + district.
2. Admin assigns business to featured slot with start/end date.
3. Billing: linked to business SaaS subscription or manual invoice.
4. Featured label visible on consumer profile and search.
5. Max 3 featured businesses per category per district.</t>
  </si>
  <si>
    <t>Admin — Featured Listings</t>
  </si>
  <si>
    <t>EP-02,EP-17</t>
  </si>
  <si>
    <t>Phase 2. Revenue unlock.</t>
  </si>
  <si>
    <t>admin,ops,featured-listings</t>
  </si>
  <si>
    <t>US-075</t>
  </si>
  <si>
    <t>As a consumer, I want to leave a rating and optional review after my visit so I can help others choose.</t>
  </si>
  <si>
    <t>1. Review prompt sent via WhatsApp 2 hours after booking slot end.
2. Tapping prompt opens in-app review screen.
3. Screen: 1–5 star rating (required) + optional text (max 500 chars).
4. Submission creates review with status PENDING.
5. Only consumers with a COMPLETED booking for that business can leave a review.</t>
  </si>
  <si>
    <t>Reviews</t>
  </si>
  <si>
    <t>Review Screen</t>
  </si>
  <si>
    <t>US-047,EP-06</t>
  </si>
  <si>
    <t>One review per booking. Verified-booker-only.</t>
  </si>
  <si>
    <t>reviews,consumer,rating</t>
  </si>
  <si>
    <t>US-076</t>
  </si>
  <si>
    <t>As an ops admin, I want reviews to go through a moderation queue so fake or abusive reviews don't appear on profiles.</t>
  </si>
  <si>
    <t>1. New reviews enter PENDING status.
2. Automated spam check (profanity filter, duplicate detection).
3. Reviews passing auto-check: status → APPROVED within 10 minutes.
4. Flagged reviews: ops manual review within 4 hours.
5. Rejected reviews: consumer notified with reason (generic: 'لم يستوفِ معايير النشر').</t>
  </si>
  <si>
    <t>Admin — Review Moderation</t>
  </si>
  <si>
    <t>US-075,EP-09</t>
  </si>
  <si>
    <t>Review integrity is critical for marketplace trust. Zero tolerance for fake reviews.</t>
  </si>
  <si>
    <t>reviews,admin,moderation</t>
  </si>
  <si>
    <t>US-077</t>
  </si>
  <si>
    <t>As a consumer, I want to see authentic ratings and reviews on business profiles so I can make informed decisions.</t>
  </si>
  <si>
    <t>1. Rating shown on profile only after ≥5 verified reviews.
2. Before 5 reviews: 'جديد' badge shown instead of rating.
3. Review cards: star rating, text (if provided), date.
4. Consumer name shown as first name + first letter of last name.
5. Latest reviews first (max 10 shown, load more button).</t>
  </si>
  <si>
    <t>Business Profile — Reviews Section</t>
  </si>
  <si>
    <t>US-075,US-076</t>
  </si>
  <si>
    <t>Business cannot respond to reviews in Phase 1.</t>
  </si>
  <si>
    <t>reviews,consumer,profile</t>
  </si>
  <si>
    <t>US-078</t>
  </si>
  <si>
    <t>As a business owner, I want to see my average rating and recent reviews in my dashboard so I can monitor customer satisfaction.</t>
  </si>
  <si>
    <t>1. Analytics shows: average rating trend over time.
2. Recent reviews list (last 10) with star and text.
3. Review count shown.
4. Low-rating alert if rating drops below 3.5 (push notification to owner).
5. Export reviews as CSV from analytics.</t>
  </si>
  <si>
    <t>Business Dashboard — Reviews Analytics</t>
  </si>
  <si>
    <t>US-077,EP-07</t>
  </si>
  <si>
    <t>Phase 1 stretch. Low priority.</t>
  </si>
  <si>
    <t>reviews,business,analytics</t>
  </si>
  <si>
    <t>US-079</t>
  </si>
  <si>
    <t>As the platform, I want a loyalty points schema in the database so Phase 2 loyalty features can be built on a solid foundation.</t>
  </si>
  <si>
    <t>1. loyalty_points table: user_id, booking_id, points, transaction_type (earn/redeem), created_at.
2. user.loyalty_balance column added.
3. Points calculation rule defined: 1 EGP deposit = 1 point (configurable).
4. No consumer-facing loyalty UI in Phase 1 (schema only).
5. Backend ready to calculate and store points from Day 1.</t>
  </si>
  <si>
    <t>Backend — Loyalty Schema</t>
  </si>
  <si>
    <t>US-020,EP-03</t>
  </si>
  <si>
    <t>Capturing data from Day 1 means loyalty can launch in Phase 2 with real data.</t>
  </si>
  <si>
    <t>reviews,backend,loyalty,schema</t>
  </si>
  <si>
    <t>US-080</t>
  </si>
  <si>
    <t>As a consumer, I want a 'Book Again' shortcut on my completed booking so I can rebook a place I liked in one tap.</t>
  </si>
  <si>
    <t>1. After review prompt (or 2h post-visit), 'Book Again' CTA shown in app.
2. Tapping pre-fills booking journey with same business.
3. Previous booking preferences pre-populated: party size, occasion.
4. Consumer still selects new date/time.
5. Also visible on past bookings list.</t>
  </si>
  <si>
    <t>Past Bookings — Book Again</t>
  </si>
  <si>
    <t>US-026,US-075</t>
  </si>
  <si>
    <t>Highest-ROI retention mechanic. Requires completed booking history.</t>
  </si>
  <si>
    <t>reviews,consumer,retention,rebook</t>
  </si>
  <si>
    <t>SUPER RESERVATION PLATFORM — Phase 1 Sprint Plan</t>
  </si>
  <si>
    <t>Sprint</t>
  </si>
  <si>
    <t>Duration</t>
  </si>
  <si>
    <t>Theme</t>
  </si>
  <si>
    <t>Stories Included</t>
  </si>
  <si>
    <t>Goal</t>
  </si>
  <si>
    <t>Sprint 0</t>
  </si>
  <si>
    <t>2 weeks</t>
  </si>
  <si>
    <t>Infrastructure &amp; Setup</t>
  </si>
  <si>
    <t>US-001, US-002, US-004, US-005 (partial)</t>
  </si>
  <si>
    <t>Cloud infra on AWS me-south-1. CI/CD pipeline. DB schema. Paymob sandbox. WABA registration initiated. Auth flows complete.</t>
  </si>
  <si>
    <t>Submit WABA templates to Meta in Week 1. Start WABA approval clock.</t>
  </si>
  <si>
    <t>Sprint 1</t>
  </si>
  <si>
    <t>Core Auth + Business Profile</t>
  </si>
  <si>
    <t>US-003, US-005, US-006, US-007, US-008</t>
  </si>
  <si>
    <t>Full auth for consumer and business. Business profile setup. Ops verification flow live. Business can go through onboarding end-to-end.</t>
  </si>
  <si>
    <t>Ops team must be trained on verification console before Sprint 1 ends.</t>
  </si>
  <si>
    <t>Sprint 2</t>
  </si>
  <si>
    <t>US-009, US-010, US-011, US-012, US-014</t>
  </si>
  <si>
    <t>Consumer can search, filter, and view business profiles. Ranking algorithm live. Arabic RTL search results. Home feed with category tiles.</t>
  </si>
  <si>
    <t>Real data needed for algorithm tuning. Use seed data in staging.</t>
  </si>
  <si>
    <t>Sprint 3</t>
  </si>
  <si>
    <t>Booking Engine — Core</t>
  </si>
  <si>
    <t>US-016, US-017, US-019, US-020, US-023, US-025</t>
  </si>
  <si>
    <t>Restaurant booking journey fully functional end-to-end. Slot locking (Redis). Booking state machine. Conflict detection. Booking reference generated.</t>
  </si>
  <si>
    <t>Redis deployed in Sprint 0. Booking journey is the most complex sprint — allocate full team.</t>
  </si>
  <si>
    <t>Sprint 4</t>
  </si>
  <si>
    <t>US-029, US-030, US-031, US-035, US-037</t>
  </si>
  <si>
    <t>Full payment flow: InstaPay, card, Fawry, Vodafone Cash. Escrow model live. Card-on-file. HMAC webhook security. Platform fee collection.</t>
  </si>
  <si>
    <t>Paymob production account needed by end of Sprint 4. Sandbox used in Sprint 3 testing.</t>
  </si>
  <si>
    <t>Sprint 5</t>
  </si>
  <si>
    <t>No-Show + Notifications</t>
  </si>
  <si>
    <t>US-038, US-039, US-040, US-042, US-043, US-044, US-045, US-046, US-050, US-052</t>
  </si>
  <si>
    <t>No-show detection job live. Penalty split automated. Dispute window. WhatsApp confirmations, reminders, no-show alerts. SQS notification queue.</t>
  </si>
  <si>
    <t>WABA templates must be approved by start of Sprint 5. If not: SMS fallback only.</t>
  </si>
  <si>
    <t>Sprint 6</t>
  </si>
  <si>
    <t>US-053, US-054, US-055, US-056, US-057, US-058, US-060, US-062</t>
  </si>
  <si>
    <t>Full business dashboard: calendar, analytics, booking management, availability config, staff management (salon), sections config (restaurant).</t>
  </si>
  <si>
    <t>Sprint 3,Sprint 4</t>
  </si>
  <si>
    <t>Tablet-first PWA. RTL sidebar. Onboarding checklist shipped.</t>
  </si>
  <si>
    <t>Sprint 7</t>
  </si>
  <si>
    <t>Salon Booking + Consumer App Polish</t>
  </si>
  <si>
    <t>US-018, US-028, US-063, US-064, US-065, US-066, US-067, US-068</t>
  </si>
  <si>
    <t>Salon booking journey complete. Consumer app Arabic RTL audit. Skeleton screens. Empty states. Device testing (Samsung A54, Xiaomi Redmi Note 12). Apple Sign-In.</t>
  </si>
  <si>
    <t>Sprint 3,Sprint 6</t>
  </si>
  <si>
    <t>Device testing must include physical Egyptian-market devices with Egyptian SIM cards.</t>
  </si>
  <si>
    <t>Sprint 8</t>
  </si>
  <si>
    <t>Admin Console + Reviews</t>
  </si>
  <si>
    <t>US-069, US-070, US-071, US-072, US-073, US-075, US-076, US-077, US-079, US-080</t>
  </si>
  <si>
    <t>Admin console: health dashboard, verification queue, dispute resolution, business suspension. Review flow: prompt, submission, moderation, display. Book Again feature.</t>
  </si>
  <si>
    <t>Sprint 5,Sprint 6</t>
  </si>
  <si>
    <t>Admin console is pre-launch critical. Ops team user acceptance test in Sprint 8.</t>
  </si>
  <si>
    <t>Sprint 9</t>
  </si>
  <si>
    <t>QA, Performance, Launch Prep</t>
  </si>
  <si>
    <t>All P0 stories regression tested. Load test (100 concurrent bookings). WABA production live. App Store + Play Store submission. Arabic copy final review.</t>
  </si>
  <si>
    <t>Pass all 7 MVP launch gates (see PRD Section 8). Platform ready for soft launch with 20 pilot businesses.</t>
  </si>
  <si>
    <t>Sprint 0–8</t>
  </si>
  <si>
    <t>App Store review: submit 2 weeks early. Allow 1 week for rejection + resubmission.</t>
  </si>
  <si>
    <t>BACKLOG SUMMARY</t>
  </si>
  <si>
    <t>Metric</t>
  </si>
  <si>
    <t>Value</t>
  </si>
  <si>
    <t>Total Epics</t>
  </si>
  <si>
    <t>Total User Stories</t>
  </si>
  <si>
    <t>Total Story Points</t>
  </si>
  <si>
    <t>By Priority</t>
  </si>
  <si>
    <t>Stories</t>
  </si>
  <si>
    <t>Points</t>
  </si>
  <si>
    <t>By Phase</t>
  </si>
  <si>
    <t>By Epic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</si>
</sst>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scheme val="minor"/>
    </font>
    <font>
      <b/>
      <sz val="14"/>
      <color rgb="FFFFFFFF"/>
      <name val="Arial"/>
    </font>
    <font>
      <sz val="11"/>
      <name val="Calibri"/>
    </font>
    <font>
      <b/>
      <sz val="9"/>
      <color rgb="FFFFFFFF"/>
      <name val="Arial"/>
    </font>
    <font>
      <b/>
      <sz val="9"/>
      <color rgb="FF7C2D12"/>
      <name val="Arial"/>
    </font>
    <font>
      <b/>
      <sz val="9"/>
      <color rgb="FF1E293B"/>
      <name val="Arial"/>
    </font>
    <font>
      <sz val="9"/>
      <color rgb="FF1E293B"/>
      <name val="Arial"/>
    </font>
    <font>
      <sz val="9"/>
      <color rgb="FF7C2D12"/>
      <name val="Arial"/>
    </font>
    <font>
      <b/>
      <sz val="9"/>
      <color rgb="FF7F1D1D"/>
      <name val="Arial"/>
    </font>
    <font>
      <sz val="9"/>
      <color rgb="FF14532D"/>
      <name val="Arial"/>
    </font>
    <font>
      <sz val="9"/>
      <color rgb="FF475569"/>
      <name val="Arial"/>
    </font>
    <font>
      <b/>
      <sz val="9"/>
      <color rgb="FF0E4DA4"/>
      <name val="Arial"/>
    </font>
    <font>
      <b/>
      <sz val="9"/>
      <color rgb="FF1E3A5F"/>
      <name val="Arial"/>
    </font>
    <font>
      <sz val="9"/>
      <color rgb="FF1E3A5F"/>
      <name val="Arial"/>
    </font>
    <font>
      <sz val="9"/>
      <color rgb="FF0E4DA4"/>
      <name val="Arial"/>
    </font>
    <font>
      <b/>
      <sz val="9"/>
      <color rgb="FF78350F"/>
      <name val="Arial"/>
    </font>
    <font>
      <sz val="9"/>
      <color rgb="FF78350F"/>
      <name val="Arial"/>
    </font>
    <font>
      <sz val="9"/>
      <color rgb="FF7F1D1D"/>
      <name val="Arial"/>
    </font>
    <font>
      <b/>
      <sz val="9"/>
      <color rgb="FF4C1D95"/>
      <name val="Arial"/>
    </font>
    <font>
      <sz val="9"/>
      <color rgb="FF4C1D95"/>
      <name val="Arial"/>
    </font>
    <font>
      <b/>
      <sz val="9"/>
      <color rgb="FF14532D"/>
      <name val="Arial"/>
    </font>
    <font>
      <b/>
      <sz val="9"/>
      <color rgb="FF701A75"/>
      <name val="Arial"/>
    </font>
    <font>
      <sz val="9"/>
      <color rgb="FF701A75"/>
      <name val="Arial"/>
    </font>
    <font>
      <b/>
      <sz val="9"/>
      <color rgb="FF0C4A6E"/>
      <name val="Arial"/>
    </font>
    <font>
      <sz val="9"/>
      <color rgb="FF0C4A6E"/>
      <name val="Arial"/>
    </font>
    <font>
      <b/>
      <sz val="9"/>
      <color rgb="FF6B21A8"/>
      <name val="Arial"/>
    </font>
    <font>
      <sz val="9"/>
      <color rgb="FF6B21A8"/>
      <name val="Arial"/>
    </font>
    <font>
      <b/>
      <sz val="9"/>
      <color rgb="FF475569"/>
      <name val="Arial"/>
    </font>
    <font>
      <b/>
      <sz val="10"/>
      <color rgb="FFFFFFFF"/>
      <name val="Arial"/>
    </font>
    <font>
      <sz val="11"/>
      <color theme="1"/>
      <name val="Calibri"/>
    </font>
    <font>
      <sz val="8"/>
      <color rgb="FF1E293B"/>
      <name val="Arial"/>
    </font>
    <font>
      <b/>
      <sz val="10"/>
      <color rgb="FF0E4DA4"/>
      <name val="Arial"/>
    </font>
    <font>
      <b/>
      <sz val="10"/>
      <color rgb="FF0E7490"/>
      <name val="Arial"/>
    </font>
    <font>
      <b/>
      <sz val="10"/>
      <color rgb="FF14532D"/>
      <name val="Arial"/>
    </font>
    <font>
      <b/>
      <sz val="10"/>
      <color rgb="FFCBD5E1"/>
      <name val="Arial"/>
    </font>
  </fonts>
  <fills count="20">
    <fill>
      <patternFill patternType="none"/>
    </fill>
    <fill>
      <patternFill patternType="gray125"/>
    </fill>
    <fill>
      <patternFill patternType="solid">
        <fgColor rgb="FF0B1D35"/>
        <bgColor rgb="FF0B1D35"/>
      </patternFill>
    </fill>
    <fill>
      <patternFill patternType="solid">
        <fgColor rgb="FF0E7490"/>
        <bgColor rgb="FF0E7490"/>
      </patternFill>
    </fill>
    <fill>
      <patternFill patternType="solid">
        <fgColor rgb="FFFFEDD5"/>
        <bgColor rgb="FFFFEDD5"/>
      </patternFill>
    </fill>
    <fill>
      <patternFill patternType="solid">
        <fgColor rgb="FFFEE2E2"/>
        <bgColor rgb="FFFEE2E2"/>
      </patternFill>
    </fill>
    <fill>
      <patternFill patternType="solid">
        <fgColor rgb="FFDCFCE7"/>
        <bgColor rgb="FFDCFCE7"/>
      </patternFill>
    </fill>
    <fill>
      <patternFill patternType="solid">
        <fgColor rgb="FFF1F5F9"/>
        <bgColor rgb="FFF1F5F9"/>
      </patternFill>
    </fill>
    <fill>
      <patternFill patternType="solid">
        <fgColor rgb="FFDBEAFE"/>
        <bgColor rgb="FFDBEAFE"/>
      </patternFill>
    </fill>
    <fill>
      <patternFill patternType="solid">
        <fgColor rgb="FFCFFAFE"/>
        <bgColor rgb="FFCFFAFE"/>
      </patternFill>
    </fill>
    <fill>
      <patternFill patternType="solid">
        <fgColor rgb="FFFEF3C7"/>
        <bgColor rgb="FFFEF3C7"/>
      </patternFill>
    </fill>
    <fill>
      <patternFill patternType="solid">
        <fgColor rgb="FFEDE9FE"/>
        <bgColor rgb="FFEDE9FE"/>
      </patternFill>
    </fill>
    <fill>
      <patternFill patternType="solid">
        <fgColor rgb="FFFAE8FF"/>
        <bgColor rgb="FFFAE8FF"/>
      </patternFill>
    </fill>
    <fill>
      <patternFill patternType="solid">
        <fgColor rgb="FFE0F2FE"/>
        <bgColor rgb="FFE0F2FE"/>
      </patternFill>
    </fill>
    <fill>
      <patternFill patternType="solid">
        <fgColor rgb="FFFDF4FF"/>
        <bgColor rgb="FFFDF4FF"/>
      </patternFill>
    </fill>
    <fill>
      <patternFill patternType="solid">
        <fgColor rgb="FF1E3A5F"/>
        <bgColor rgb="FF1E3A5F"/>
      </patternFill>
    </fill>
    <fill>
      <patternFill patternType="solid">
        <fgColor rgb="FFFFFFFF"/>
        <bgColor rgb="FFFFFFFF"/>
      </patternFill>
    </fill>
    <fill>
      <patternFill patternType="solid">
        <fgColor rgb="FFF8FAFC"/>
        <bgColor rgb="FFF8FAFC"/>
      </patternFill>
    </fill>
    <fill>
      <patternFill patternType="solid">
        <fgColor rgb="FFE8F5E9"/>
        <bgColor rgb="FFE8F5E9"/>
      </patternFill>
    </fill>
    <fill>
      <patternFill patternType="solid">
        <fgColor rgb="FFFFFF00"/>
        <bgColor rgb="FFF1F5F9"/>
      </patternFill>
    </fill>
  </fills>
  <borders count="8">
    <border>
      <left/>
      <right/>
      <top/>
      <bottom/>
      <diagonal/>
    </border>
    <border>
      <left/>
      <right/>
      <top/>
      <bottom/>
      <diagonal/>
    </border>
    <border>
      <left/>
      <right/>
      <top/>
      <bottom/>
      <diagonal/>
    </border>
    <border>
      <left/>
      <right/>
      <top/>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right/>
      <top style="thin">
        <color rgb="FFCBD5E1"/>
      </top>
      <bottom style="thin">
        <color rgb="FFCBD5E1"/>
      </bottom>
      <diagonal/>
    </border>
    <border>
      <left/>
      <right/>
      <top style="thin">
        <color rgb="FFCBD5E1"/>
      </top>
      <bottom style="thin">
        <color rgb="FFCBD5E1"/>
      </bottom>
      <diagonal/>
    </border>
  </borders>
  <cellStyleXfs count="1">
    <xf numFmtId="0" fontId="0" fillId="0" borderId="0"/>
  </cellStyleXfs>
  <cellXfs count="66">
    <xf numFmtId="0" fontId="0" fillId="0" borderId="0" xfId="0"/>
    <xf numFmtId="0" fontId="3" fillId="3" borderId="4" xfId="0" applyFont="1" applyFill="1" applyBorder="1" applyAlignment="1">
      <alignment horizontal="center" vertical="center"/>
    </xf>
    <xf numFmtId="0" fontId="4" fillId="4" borderId="4" xfId="0" applyFont="1" applyFill="1" applyBorder="1" applyAlignment="1">
      <alignment horizontal="center" vertical="center"/>
    </xf>
    <xf numFmtId="0" fontId="5" fillId="0" borderId="4" xfId="0" applyFont="1" applyBorder="1" applyAlignment="1">
      <alignment horizontal="left" vertical="top" wrapText="1"/>
    </xf>
    <xf numFmtId="0" fontId="6" fillId="0" borderId="4" xfId="0" applyFont="1" applyBorder="1" applyAlignment="1">
      <alignment horizontal="left" vertical="top" wrapText="1"/>
    </xf>
    <xf numFmtId="0" fontId="7" fillId="4" borderId="4" xfId="0" applyFont="1" applyFill="1" applyBorder="1" applyAlignment="1">
      <alignment horizontal="center" vertical="center"/>
    </xf>
    <xf numFmtId="0" fontId="8" fillId="5" borderId="4" xfId="0" applyFont="1" applyFill="1" applyBorder="1" applyAlignment="1">
      <alignment horizontal="center" vertical="center"/>
    </xf>
    <xf numFmtId="0" fontId="9" fillId="6" borderId="4" xfId="0" applyFont="1" applyFill="1" applyBorder="1" applyAlignment="1">
      <alignment horizontal="center" vertical="center"/>
    </xf>
    <xf numFmtId="0" fontId="10" fillId="7" borderId="4" xfId="0" applyFont="1" applyFill="1" applyBorder="1" applyAlignment="1">
      <alignment horizontal="center" vertical="center"/>
    </xf>
    <xf numFmtId="0" fontId="5" fillId="0" borderId="4" xfId="0" applyFont="1" applyBorder="1" applyAlignment="1">
      <alignment horizontal="center" vertical="center"/>
    </xf>
    <xf numFmtId="0" fontId="11" fillId="0" borderId="4" xfId="0" applyFont="1" applyBorder="1" applyAlignment="1">
      <alignment horizontal="center" vertical="center"/>
    </xf>
    <xf numFmtId="0" fontId="6" fillId="0" borderId="4" xfId="0" applyFont="1" applyBorder="1" applyAlignment="1">
      <alignment horizontal="center" vertical="top" wrapText="1"/>
    </xf>
    <xf numFmtId="0" fontId="12" fillId="8" borderId="4" xfId="0" applyFont="1" applyFill="1" applyBorder="1" applyAlignment="1">
      <alignment horizontal="center" vertical="center"/>
    </xf>
    <xf numFmtId="0" fontId="13" fillId="8" borderId="4" xfId="0" applyFont="1" applyFill="1" applyBorder="1" applyAlignment="1">
      <alignment horizontal="center" vertical="center"/>
    </xf>
    <xf numFmtId="0" fontId="11" fillId="9" borderId="4" xfId="0" applyFont="1" applyFill="1" applyBorder="1" applyAlignment="1">
      <alignment horizontal="center" vertical="center"/>
    </xf>
    <xf numFmtId="0" fontId="14" fillId="9" borderId="4" xfId="0" applyFont="1" applyFill="1" applyBorder="1" applyAlignment="1">
      <alignment horizontal="center" vertical="center"/>
    </xf>
    <xf numFmtId="0" fontId="15" fillId="10" borderId="4" xfId="0" applyFont="1" applyFill="1" applyBorder="1" applyAlignment="1">
      <alignment horizontal="center" vertical="center"/>
    </xf>
    <xf numFmtId="0" fontId="16" fillId="10" borderId="4" xfId="0" applyFont="1" applyFill="1" applyBorder="1" applyAlignment="1">
      <alignment horizontal="center" vertical="center"/>
    </xf>
    <xf numFmtId="0" fontId="17" fillId="5" borderId="4" xfId="0" applyFont="1" applyFill="1" applyBorder="1" applyAlignment="1">
      <alignment horizontal="center" vertical="center"/>
    </xf>
    <xf numFmtId="0" fontId="18" fillId="11" borderId="4" xfId="0" applyFont="1" applyFill="1" applyBorder="1" applyAlignment="1">
      <alignment horizontal="center" vertical="center"/>
    </xf>
    <xf numFmtId="0" fontId="19" fillId="11" borderId="4" xfId="0" applyFont="1" applyFill="1" applyBorder="1" applyAlignment="1">
      <alignment horizontal="center" vertical="center"/>
    </xf>
    <xf numFmtId="0" fontId="20" fillId="6" borderId="4" xfId="0" applyFont="1" applyFill="1" applyBorder="1" applyAlignment="1">
      <alignment horizontal="center" vertical="center"/>
    </xf>
    <xf numFmtId="0" fontId="21" fillId="12" borderId="4" xfId="0" applyFont="1" applyFill="1" applyBorder="1" applyAlignment="1">
      <alignment horizontal="center" vertical="center"/>
    </xf>
    <xf numFmtId="0" fontId="22" fillId="12" borderId="4" xfId="0" applyFont="1" applyFill="1" applyBorder="1" applyAlignment="1">
      <alignment horizontal="center" vertical="center"/>
    </xf>
    <xf numFmtId="0" fontId="23" fillId="13" borderId="4" xfId="0" applyFont="1" applyFill="1" applyBorder="1" applyAlignment="1">
      <alignment horizontal="center" vertical="center"/>
    </xf>
    <xf numFmtId="0" fontId="24" fillId="13" borderId="4" xfId="0" applyFont="1" applyFill="1" applyBorder="1" applyAlignment="1">
      <alignment horizontal="center" vertical="center"/>
    </xf>
    <xf numFmtId="0" fontId="25" fillId="14" borderId="4" xfId="0" applyFont="1" applyFill="1" applyBorder="1" applyAlignment="1">
      <alignment horizontal="center" vertical="center"/>
    </xf>
    <xf numFmtId="0" fontId="26" fillId="14" borderId="4" xfId="0" applyFont="1" applyFill="1" applyBorder="1" applyAlignment="1">
      <alignment horizontal="center" vertical="center"/>
    </xf>
    <xf numFmtId="0" fontId="27" fillId="7" borderId="4" xfId="0" applyFont="1" applyFill="1" applyBorder="1" applyAlignment="1">
      <alignment horizontal="center" vertical="center"/>
    </xf>
    <xf numFmtId="0" fontId="28" fillId="15" borderId="4" xfId="0" applyFont="1" applyFill="1" applyBorder="1" applyAlignment="1">
      <alignment horizontal="center" vertical="center"/>
    </xf>
    <xf numFmtId="0" fontId="29" fillId="15" borderId="4" xfId="0" applyFont="1" applyFill="1" applyBorder="1"/>
    <xf numFmtId="0" fontId="30" fillId="0" borderId="4" xfId="0" applyFont="1" applyBorder="1" applyAlignment="1">
      <alignment horizontal="left" vertical="top" wrapText="1"/>
    </xf>
    <xf numFmtId="0" fontId="31" fillId="0" borderId="4" xfId="0" applyFont="1" applyBorder="1" applyAlignment="1">
      <alignment horizontal="center" vertical="center"/>
    </xf>
    <xf numFmtId="0" fontId="6" fillId="0" borderId="4" xfId="0" applyFont="1" applyBorder="1" applyAlignment="1">
      <alignment horizontal="center" vertical="top"/>
    </xf>
    <xf numFmtId="0" fontId="32" fillId="16" borderId="4" xfId="0" applyFont="1" applyFill="1" applyBorder="1" applyAlignment="1">
      <alignment horizontal="center" vertical="center"/>
    </xf>
    <xf numFmtId="0" fontId="6" fillId="16" borderId="4" xfId="0" applyFont="1" applyFill="1" applyBorder="1" applyAlignment="1">
      <alignment horizontal="left" vertical="top" wrapText="1"/>
    </xf>
    <xf numFmtId="0" fontId="31" fillId="16" borderId="4" xfId="0" applyFont="1" applyFill="1" applyBorder="1" applyAlignment="1">
      <alignment horizontal="center" vertical="center"/>
    </xf>
    <xf numFmtId="0" fontId="32" fillId="17" borderId="4" xfId="0" applyFont="1" applyFill="1" applyBorder="1" applyAlignment="1">
      <alignment horizontal="center" vertical="center"/>
    </xf>
    <xf numFmtId="0" fontId="6" fillId="17" borderId="4" xfId="0" applyFont="1" applyFill="1" applyBorder="1" applyAlignment="1">
      <alignment horizontal="left" vertical="top" wrapText="1"/>
    </xf>
    <xf numFmtId="0" fontId="31" fillId="17" borderId="4" xfId="0" applyFont="1" applyFill="1" applyBorder="1" applyAlignment="1">
      <alignment horizontal="center" vertical="center"/>
    </xf>
    <xf numFmtId="0" fontId="33" fillId="18" borderId="4" xfId="0" applyFont="1" applyFill="1" applyBorder="1" applyAlignment="1">
      <alignment horizontal="center" vertical="center"/>
    </xf>
    <xf numFmtId="0" fontId="6" fillId="18" borderId="4" xfId="0" applyFont="1" applyFill="1" applyBorder="1" applyAlignment="1">
      <alignment horizontal="left" vertical="top" wrapText="1"/>
    </xf>
    <xf numFmtId="0" fontId="34" fillId="18" borderId="4" xfId="0" applyFont="1" applyFill="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0" fontId="3" fillId="15" borderId="4" xfId="0" applyFont="1" applyFill="1" applyBorder="1" applyAlignment="1">
      <alignment horizontal="left" vertical="center"/>
    </xf>
    <xf numFmtId="0" fontId="3" fillId="15" borderId="4" xfId="0" applyFont="1" applyFill="1" applyBorder="1" applyAlignment="1">
      <alignment horizontal="center" vertical="center"/>
    </xf>
    <xf numFmtId="0" fontId="6" fillId="0" borderId="4" xfId="0" applyFont="1" applyBorder="1" applyAlignment="1">
      <alignment horizontal="left" vertical="center"/>
    </xf>
    <xf numFmtId="0" fontId="3" fillId="3" borderId="4" xfId="0" applyFont="1" applyFill="1" applyBorder="1" applyAlignment="1">
      <alignment horizontal="left" vertical="center"/>
    </xf>
    <xf numFmtId="0" fontId="4" fillId="4" borderId="4" xfId="0" applyFont="1" applyFill="1" applyBorder="1" applyAlignment="1">
      <alignment horizontal="left" vertical="center"/>
    </xf>
    <xf numFmtId="0" fontId="12" fillId="8" borderId="4" xfId="0" applyFont="1" applyFill="1" applyBorder="1" applyAlignment="1">
      <alignment horizontal="left" vertical="center"/>
    </xf>
    <xf numFmtId="0" fontId="11" fillId="9" borderId="4" xfId="0" applyFont="1" applyFill="1" applyBorder="1" applyAlignment="1">
      <alignment horizontal="left" vertical="center"/>
    </xf>
    <xf numFmtId="0" fontId="15" fillId="10" borderId="4" xfId="0" applyFont="1" applyFill="1" applyBorder="1" applyAlignment="1">
      <alignment horizontal="left" vertical="center"/>
    </xf>
    <xf numFmtId="0" fontId="8" fillId="5" borderId="4" xfId="0" applyFont="1" applyFill="1" applyBorder="1" applyAlignment="1">
      <alignment horizontal="left" vertical="center"/>
    </xf>
    <xf numFmtId="0" fontId="18" fillId="11" borderId="4" xfId="0" applyFont="1" applyFill="1" applyBorder="1" applyAlignment="1">
      <alignment horizontal="left" vertical="center"/>
    </xf>
    <xf numFmtId="0" fontId="20" fillId="6" borderId="4" xfId="0" applyFont="1" applyFill="1" applyBorder="1" applyAlignment="1">
      <alignment horizontal="left" vertical="center"/>
    </xf>
    <xf numFmtId="0" fontId="21" fillId="12" borderId="4" xfId="0" applyFont="1" applyFill="1" applyBorder="1" applyAlignment="1">
      <alignment horizontal="left" vertical="center"/>
    </xf>
    <xf numFmtId="0" fontId="23" fillId="13" borderId="4" xfId="0" applyFont="1" applyFill="1" applyBorder="1" applyAlignment="1">
      <alignment horizontal="left" vertical="center"/>
    </xf>
    <xf numFmtId="0" fontId="25" fillId="14" borderId="4" xfId="0" applyFont="1" applyFill="1" applyBorder="1" applyAlignment="1">
      <alignment horizontal="left" vertical="center"/>
    </xf>
    <xf numFmtId="0" fontId="1" fillId="2" borderId="1" xfId="0" applyFont="1" applyFill="1" applyBorder="1" applyAlignment="1">
      <alignment horizontal="left" vertical="center"/>
    </xf>
    <xf numFmtId="0" fontId="2" fillId="0" borderId="2" xfId="0" applyFont="1" applyBorder="1"/>
    <xf numFmtId="0" fontId="2" fillId="0" borderId="3" xfId="0" applyFont="1" applyBorder="1"/>
    <xf numFmtId="0" fontId="3" fillId="15" borderId="5" xfId="0" applyFont="1" applyFill="1" applyBorder="1" applyAlignment="1">
      <alignment horizontal="right" vertical="center"/>
    </xf>
    <xf numFmtId="0" fontId="2" fillId="0" borderId="6" xfId="0" applyFont="1" applyBorder="1"/>
    <xf numFmtId="0" fontId="2" fillId="0" borderId="7" xfId="0" applyFont="1" applyBorder="1"/>
    <xf numFmtId="0" fontId="27" fillId="19"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showGridLines="0" tabSelected="1" workbookViewId="0">
      <pane ySplit="2" topLeftCell="A12" activePane="bottomLeft" state="frozen"/>
      <selection pane="bottomLeft" activeCell="B8" sqref="B8"/>
    </sheetView>
  </sheetViews>
  <sheetFormatPr defaultColWidth="14.42578125" defaultRowHeight="15" customHeight="1"/>
  <cols>
    <col min="1" max="1" width="10" customWidth="1"/>
    <col min="2" max="2" width="26" customWidth="1"/>
    <col min="3" max="3" width="52" customWidth="1"/>
    <col min="4" max="5" width="18" customWidth="1"/>
    <col min="6" max="6" width="12" customWidth="1"/>
    <col min="7" max="7" width="14" customWidth="1"/>
    <col min="8" max="8" width="10" customWidth="1"/>
    <col min="9" max="9" width="14.85546875" customWidth="1"/>
    <col min="10" max="10" width="28" customWidth="1"/>
    <col min="11" max="11" width="36" customWidth="1"/>
    <col min="12" max="26" width="8.7109375" customWidth="1"/>
  </cols>
  <sheetData>
    <row r="1" spans="1:11" ht="27.75" customHeight="1">
      <c r="A1" s="59" t="s">
        <v>0</v>
      </c>
      <c r="B1" s="60"/>
      <c r="C1" s="60"/>
      <c r="D1" s="60"/>
      <c r="E1" s="60"/>
      <c r="F1" s="60"/>
      <c r="G1" s="60"/>
      <c r="H1" s="60"/>
      <c r="I1" s="60"/>
      <c r="J1" s="60"/>
      <c r="K1" s="61"/>
    </row>
    <row r="2" spans="1:11" ht="21.75" customHeight="1">
      <c r="A2" s="1" t="s">
        <v>1</v>
      </c>
      <c r="B2" s="1" t="s">
        <v>2</v>
      </c>
      <c r="C2" s="1" t="s">
        <v>3</v>
      </c>
      <c r="D2" s="1" t="s">
        <v>4</v>
      </c>
      <c r="E2" s="1" t="s">
        <v>5</v>
      </c>
      <c r="F2" s="1" t="s">
        <v>6</v>
      </c>
      <c r="G2" s="1" t="s">
        <v>7</v>
      </c>
      <c r="H2" s="1" t="s">
        <v>8</v>
      </c>
      <c r="I2" s="1" t="s">
        <v>9</v>
      </c>
      <c r="J2" s="1" t="s">
        <v>10</v>
      </c>
      <c r="K2" s="1" t="s">
        <v>11</v>
      </c>
    </row>
    <row r="3" spans="1:11" ht="51.75" customHeight="1">
      <c r="A3" s="2" t="s">
        <v>12</v>
      </c>
      <c r="B3" s="3" t="s">
        <v>13</v>
      </c>
      <c r="C3" s="4" t="s">
        <v>14</v>
      </c>
      <c r="D3" s="5" t="s">
        <v>15</v>
      </c>
      <c r="E3" s="6" t="s">
        <v>16</v>
      </c>
      <c r="F3" s="7" t="s">
        <v>17</v>
      </c>
      <c r="G3" s="8" t="s">
        <v>18</v>
      </c>
      <c r="H3" s="9">
        <v>8</v>
      </c>
      <c r="I3" s="10">
        <v>21</v>
      </c>
      <c r="J3" s="11" t="s">
        <v>19</v>
      </c>
      <c r="K3" s="4" t="s">
        <v>20</v>
      </c>
    </row>
    <row r="4" spans="1:11" ht="51.75" customHeight="1">
      <c r="A4" s="12" t="s">
        <v>21</v>
      </c>
      <c r="B4" s="3" t="s">
        <v>22</v>
      </c>
      <c r="C4" s="4" t="s">
        <v>23</v>
      </c>
      <c r="D4" s="13" t="s">
        <v>24</v>
      </c>
      <c r="E4" s="6" t="s">
        <v>16</v>
      </c>
      <c r="F4" s="7" t="s">
        <v>17</v>
      </c>
      <c r="G4" s="8" t="s">
        <v>18</v>
      </c>
      <c r="H4" s="9">
        <v>10</v>
      </c>
      <c r="I4" s="10">
        <v>34</v>
      </c>
      <c r="J4" s="11" t="s">
        <v>12</v>
      </c>
      <c r="K4" s="4" t="s">
        <v>25</v>
      </c>
    </row>
    <row r="5" spans="1:11" ht="51.75" customHeight="1">
      <c r="A5" s="14" t="s">
        <v>26</v>
      </c>
      <c r="B5" s="3" t="s">
        <v>27</v>
      </c>
      <c r="C5" s="4" t="s">
        <v>28</v>
      </c>
      <c r="D5" s="15" t="s">
        <v>29</v>
      </c>
      <c r="E5" s="6" t="s">
        <v>16</v>
      </c>
      <c r="F5" s="7" t="s">
        <v>17</v>
      </c>
      <c r="G5" s="8" t="s">
        <v>18</v>
      </c>
      <c r="H5" s="9">
        <v>14</v>
      </c>
      <c r="I5" s="10">
        <v>55</v>
      </c>
      <c r="J5" s="11" t="s">
        <v>30</v>
      </c>
      <c r="K5" s="4" t="s">
        <v>31</v>
      </c>
    </row>
    <row r="6" spans="1:11" ht="51.75" customHeight="1">
      <c r="A6" s="16" t="s">
        <v>32</v>
      </c>
      <c r="B6" s="3" t="s">
        <v>33</v>
      </c>
      <c r="C6" s="4" t="s">
        <v>34</v>
      </c>
      <c r="D6" s="17" t="s">
        <v>29</v>
      </c>
      <c r="E6" s="6" t="s">
        <v>16</v>
      </c>
      <c r="F6" s="7" t="s">
        <v>17</v>
      </c>
      <c r="G6" s="8" t="s">
        <v>18</v>
      </c>
      <c r="H6" s="9">
        <v>9</v>
      </c>
      <c r="I6" s="10">
        <v>34</v>
      </c>
      <c r="J6" s="11" t="s">
        <v>26</v>
      </c>
      <c r="K6" s="4" t="s">
        <v>35</v>
      </c>
    </row>
    <row r="7" spans="1:11" ht="51.75" customHeight="1">
      <c r="A7" s="6" t="s">
        <v>36</v>
      </c>
      <c r="B7" s="3" t="s">
        <v>37</v>
      </c>
      <c r="C7" s="4" t="s">
        <v>38</v>
      </c>
      <c r="D7" s="18" t="s">
        <v>29</v>
      </c>
      <c r="E7" s="6" t="s">
        <v>16</v>
      </c>
      <c r="F7" s="7" t="s">
        <v>17</v>
      </c>
      <c r="G7" s="8" t="s">
        <v>18</v>
      </c>
      <c r="H7" s="9">
        <v>7</v>
      </c>
      <c r="I7" s="10">
        <v>26</v>
      </c>
      <c r="J7" s="11" t="s">
        <v>39</v>
      </c>
      <c r="K7" s="4" t="s">
        <v>40</v>
      </c>
    </row>
    <row r="8" spans="1:11" ht="51.75" customHeight="1">
      <c r="A8" s="19" t="s">
        <v>41</v>
      </c>
      <c r="B8" s="3" t="s">
        <v>42</v>
      </c>
      <c r="C8" s="4" t="s">
        <v>43</v>
      </c>
      <c r="D8" s="20" t="s">
        <v>44</v>
      </c>
      <c r="E8" s="6" t="s">
        <v>16</v>
      </c>
      <c r="F8" s="7" t="s">
        <v>17</v>
      </c>
      <c r="G8" s="8" t="s">
        <v>18</v>
      </c>
      <c r="H8" s="9">
        <v>8</v>
      </c>
      <c r="I8" s="10">
        <v>21</v>
      </c>
      <c r="J8" s="11" t="s">
        <v>45</v>
      </c>
      <c r="K8" s="4" t="s">
        <v>46</v>
      </c>
    </row>
    <row r="9" spans="1:11" ht="51.75" customHeight="1">
      <c r="A9" s="21" t="s">
        <v>47</v>
      </c>
      <c r="B9" s="3" t="s">
        <v>48</v>
      </c>
      <c r="C9" s="4" t="s">
        <v>49</v>
      </c>
      <c r="D9" s="7" t="s">
        <v>50</v>
      </c>
      <c r="E9" s="6" t="s">
        <v>16</v>
      </c>
      <c r="F9" s="7" t="s">
        <v>17</v>
      </c>
      <c r="G9" s="8" t="s">
        <v>18</v>
      </c>
      <c r="H9" s="9">
        <v>12</v>
      </c>
      <c r="I9" s="10">
        <v>55</v>
      </c>
      <c r="J9" s="11" t="s">
        <v>51</v>
      </c>
      <c r="K9" s="4" t="s">
        <v>52</v>
      </c>
    </row>
    <row r="10" spans="1:11" ht="51.75" customHeight="1">
      <c r="A10" s="22" t="s">
        <v>53</v>
      </c>
      <c r="B10" s="3" t="s">
        <v>54</v>
      </c>
      <c r="C10" s="4" t="s">
        <v>55</v>
      </c>
      <c r="D10" s="23" t="s">
        <v>24</v>
      </c>
      <c r="E10" s="6" t="s">
        <v>16</v>
      </c>
      <c r="F10" s="7" t="s">
        <v>17</v>
      </c>
      <c r="G10" s="8" t="s">
        <v>18</v>
      </c>
      <c r="H10" s="9">
        <v>10</v>
      </c>
      <c r="I10" s="10">
        <v>42</v>
      </c>
      <c r="J10" s="11" t="s">
        <v>56</v>
      </c>
      <c r="K10" s="4" t="s">
        <v>57</v>
      </c>
    </row>
    <row r="11" spans="1:11" ht="51.75" customHeight="1">
      <c r="A11" s="24" t="s">
        <v>58</v>
      </c>
      <c r="B11" s="3" t="s">
        <v>59</v>
      </c>
      <c r="C11" s="4" t="s">
        <v>60</v>
      </c>
      <c r="D11" s="25" t="s">
        <v>61</v>
      </c>
      <c r="E11" s="6" t="s">
        <v>16</v>
      </c>
      <c r="F11" s="7" t="s">
        <v>17</v>
      </c>
      <c r="G11" s="8" t="s">
        <v>18</v>
      </c>
      <c r="H11" s="9">
        <v>8</v>
      </c>
      <c r="I11" s="10">
        <v>26</v>
      </c>
      <c r="J11" s="11" t="s">
        <v>62</v>
      </c>
      <c r="K11" s="4" t="s">
        <v>63</v>
      </c>
    </row>
    <row r="12" spans="1:11" ht="51.75" customHeight="1">
      <c r="A12" s="26" t="s">
        <v>64</v>
      </c>
      <c r="B12" s="3" t="s">
        <v>65</v>
      </c>
      <c r="C12" s="4" t="s">
        <v>66</v>
      </c>
      <c r="D12" s="27" t="s">
        <v>24</v>
      </c>
      <c r="E12" s="16" t="s">
        <v>67</v>
      </c>
      <c r="F12" s="7" t="s">
        <v>17</v>
      </c>
      <c r="G12" s="8" t="s">
        <v>18</v>
      </c>
      <c r="H12" s="9">
        <v>6</v>
      </c>
      <c r="I12" s="10">
        <v>18</v>
      </c>
      <c r="J12" s="11" t="s">
        <v>68</v>
      </c>
      <c r="K12" s="4" t="s">
        <v>69</v>
      </c>
    </row>
    <row r="13" spans="1:11" ht="51.75" customHeight="1">
      <c r="A13" s="28" t="s">
        <v>70</v>
      </c>
      <c r="B13" s="3" t="s">
        <v>71</v>
      </c>
      <c r="C13" s="4" t="s">
        <v>72</v>
      </c>
      <c r="D13" s="8" t="s">
        <v>24</v>
      </c>
      <c r="E13" s="16" t="s">
        <v>67</v>
      </c>
      <c r="F13" s="17" t="s">
        <v>73</v>
      </c>
      <c r="G13" s="8" t="s">
        <v>18</v>
      </c>
      <c r="H13" s="9">
        <v>8</v>
      </c>
      <c r="I13" s="10">
        <v>26</v>
      </c>
      <c r="J13" s="11" t="s">
        <v>74</v>
      </c>
      <c r="K13" s="4" t="s">
        <v>75</v>
      </c>
    </row>
    <row r="14" spans="1:11" ht="51.75" customHeight="1">
      <c r="A14" s="28" t="s">
        <v>76</v>
      </c>
      <c r="B14" s="3" t="s">
        <v>77</v>
      </c>
      <c r="C14" s="4" t="s">
        <v>78</v>
      </c>
      <c r="D14" s="8" t="s">
        <v>24</v>
      </c>
      <c r="E14" s="16" t="s">
        <v>67</v>
      </c>
      <c r="F14" s="17" t="s">
        <v>73</v>
      </c>
      <c r="G14" s="8" t="s">
        <v>18</v>
      </c>
      <c r="H14" s="9">
        <v>7</v>
      </c>
      <c r="I14" s="10">
        <v>21</v>
      </c>
      <c r="J14" s="11" t="s">
        <v>74</v>
      </c>
      <c r="K14" s="4" t="s">
        <v>79</v>
      </c>
    </row>
    <row r="15" spans="1:11" ht="51.75" customHeight="1">
      <c r="A15" s="28" t="s">
        <v>80</v>
      </c>
      <c r="B15" s="3" t="s">
        <v>81</v>
      </c>
      <c r="C15" s="4" t="s">
        <v>82</v>
      </c>
      <c r="D15" s="8" t="s">
        <v>24</v>
      </c>
      <c r="E15" s="16" t="s">
        <v>67</v>
      </c>
      <c r="F15" s="17" t="s">
        <v>73</v>
      </c>
      <c r="G15" s="8" t="s">
        <v>18</v>
      </c>
      <c r="H15" s="9">
        <v>7</v>
      </c>
      <c r="I15" s="10">
        <v>21</v>
      </c>
      <c r="J15" s="11" t="s">
        <v>74</v>
      </c>
      <c r="K15" s="4" t="s">
        <v>83</v>
      </c>
    </row>
    <row r="16" spans="1:11" ht="51.75" customHeight="1">
      <c r="A16" s="65" t="s">
        <v>84</v>
      </c>
      <c r="B16" s="3" t="s">
        <v>85</v>
      </c>
      <c r="C16" s="4" t="s">
        <v>86</v>
      </c>
      <c r="D16" s="8" t="s">
        <v>29</v>
      </c>
      <c r="E16" s="16" t="s">
        <v>67</v>
      </c>
      <c r="F16" s="17" t="s">
        <v>73</v>
      </c>
      <c r="G16" s="8" t="s">
        <v>18</v>
      </c>
      <c r="H16" s="9">
        <v>6</v>
      </c>
      <c r="I16" s="10">
        <v>21</v>
      </c>
      <c r="J16" s="11" t="s">
        <v>74</v>
      </c>
      <c r="K16" s="4" t="s">
        <v>87</v>
      </c>
    </row>
    <row r="17" spans="1:11" ht="51.75" customHeight="1">
      <c r="A17" s="28" t="s">
        <v>88</v>
      </c>
      <c r="B17" s="3" t="s">
        <v>89</v>
      </c>
      <c r="C17" s="4" t="s">
        <v>90</v>
      </c>
      <c r="D17" s="8" t="s">
        <v>50</v>
      </c>
      <c r="E17" s="16" t="s">
        <v>67</v>
      </c>
      <c r="F17" s="17" t="s">
        <v>73</v>
      </c>
      <c r="G17" s="8" t="s">
        <v>18</v>
      </c>
      <c r="H17" s="9">
        <v>5</v>
      </c>
      <c r="I17" s="10">
        <v>18</v>
      </c>
      <c r="J17" s="11" t="s">
        <v>91</v>
      </c>
      <c r="K17" s="4" t="s">
        <v>92</v>
      </c>
    </row>
    <row r="18" spans="1:11" ht="51.75" customHeight="1">
      <c r="A18" s="28" t="s">
        <v>93</v>
      </c>
      <c r="B18" s="3" t="s">
        <v>94</v>
      </c>
      <c r="C18" s="4" t="s">
        <v>95</v>
      </c>
      <c r="D18" s="8" t="s">
        <v>24</v>
      </c>
      <c r="E18" s="21" t="s">
        <v>96</v>
      </c>
      <c r="F18" s="20" t="s">
        <v>97</v>
      </c>
      <c r="G18" s="8" t="s">
        <v>18</v>
      </c>
      <c r="H18" s="9">
        <v>8</v>
      </c>
      <c r="I18" s="10">
        <v>34</v>
      </c>
      <c r="J18" s="11" t="s">
        <v>98</v>
      </c>
      <c r="K18" s="4" t="s">
        <v>99</v>
      </c>
    </row>
    <row r="19" spans="1:11" ht="51.75" customHeight="1">
      <c r="A19" s="28" t="s">
        <v>100</v>
      </c>
      <c r="B19" s="3" t="s">
        <v>101</v>
      </c>
      <c r="C19" s="4" t="s">
        <v>102</v>
      </c>
      <c r="D19" s="8" t="s">
        <v>44</v>
      </c>
      <c r="E19" s="21" t="s">
        <v>96</v>
      </c>
      <c r="F19" s="17" t="s">
        <v>73</v>
      </c>
      <c r="G19" s="8" t="s">
        <v>18</v>
      </c>
      <c r="H19" s="9">
        <v>5</v>
      </c>
      <c r="I19" s="10">
        <v>18</v>
      </c>
      <c r="J19" s="11" t="s">
        <v>103</v>
      </c>
      <c r="K19" s="4" t="s">
        <v>104</v>
      </c>
    </row>
    <row r="20" spans="1:11" ht="51.75" customHeight="1">
      <c r="A20" s="28" t="s">
        <v>105</v>
      </c>
      <c r="B20" s="3" t="s">
        <v>106</v>
      </c>
      <c r="C20" s="4" t="s">
        <v>107</v>
      </c>
      <c r="D20" s="8" t="s">
        <v>44</v>
      </c>
      <c r="E20" s="21" t="s">
        <v>96</v>
      </c>
      <c r="F20" s="20" t="s">
        <v>97</v>
      </c>
      <c r="G20" s="8" t="s">
        <v>18</v>
      </c>
      <c r="H20" s="9">
        <v>4</v>
      </c>
      <c r="I20" s="10">
        <v>18</v>
      </c>
      <c r="J20" s="11" t="s">
        <v>26</v>
      </c>
      <c r="K20" s="4" t="s">
        <v>108</v>
      </c>
    </row>
    <row r="21" spans="1:11" ht="15.75" customHeight="1">
      <c r="A21" s="62" t="s">
        <v>109</v>
      </c>
      <c r="B21" s="63"/>
      <c r="C21" s="63"/>
      <c r="D21" s="63"/>
      <c r="E21" s="63"/>
      <c r="F21" s="63"/>
      <c r="G21" s="64"/>
      <c r="H21" s="29">
        <v>142</v>
      </c>
      <c r="I21" s="29">
        <v>509</v>
      </c>
      <c r="J21" s="30"/>
      <c r="K21" s="30"/>
    </row>
    <row r="22" spans="1:11" ht="15.75" customHeight="1"/>
    <row r="23" spans="1:11" ht="15.75" customHeight="1"/>
    <row r="24" spans="1:11" ht="15.75" customHeight="1"/>
    <row r="25" spans="1:11" ht="15.75" customHeight="1"/>
    <row r="26" spans="1:11" ht="15.75" customHeight="1"/>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1:G21"/>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0"/>
  <sheetViews>
    <sheetView showGridLines="0" workbookViewId="0">
      <pane ySplit="2" topLeftCell="A75" activePane="bottomLeft" state="frozen"/>
      <selection pane="bottomLeft" activeCell="B4" sqref="B4"/>
    </sheetView>
  </sheetViews>
  <sheetFormatPr defaultColWidth="14.42578125" defaultRowHeight="15" customHeight="1"/>
  <cols>
    <col min="1" max="1" width="10" customWidth="1"/>
    <col min="2" max="2" width="8" customWidth="1"/>
    <col min="3" max="3" width="16" customWidth="1"/>
    <col min="4" max="4" width="52" customWidth="1"/>
    <col min="5" max="5" width="58" customWidth="1"/>
    <col min="6" max="6" width="18" customWidth="1"/>
    <col min="7" max="7" width="10" customWidth="1"/>
    <col min="8" max="8" width="14" customWidth="1"/>
    <col min="9" max="9" width="10" customWidth="1"/>
    <col min="10" max="10" width="16" customWidth="1"/>
    <col min="11" max="11" width="26" customWidth="1"/>
    <col min="12" max="12" width="18" customWidth="1"/>
    <col min="13" max="13" width="28" customWidth="1"/>
    <col min="14" max="14" width="22" customWidth="1"/>
    <col min="15" max="26" width="8.7109375" customWidth="1"/>
  </cols>
  <sheetData>
    <row r="1" spans="1:14" ht="27.75" customHeight="1">
      <c r="A1" s="59" t="s">
        <v>110</v>
      </c>
      <c r="B1" s="60"/>
      <c r="C1" s="60"/>
      <c r="D1" s="60"/>
      <c r="E1" s="60"/>
      <c r="F1" s="60"/>
      <c r="G1" s="60"/>
      <c r="H1" s="60"/>
      <c r="I1" s="60"/>
      <c r="J1" s="60"/>
      <c r="K1" s="60"/>
      <c r="L1" s="60"/>
      <c r="M1" s="60"/>
      <c r="N1" s="61"/>
    </row>
    <row r="2" spans="1:14" ht="21.75" customHeight="1">
      <c r="A2" s="1" t="s">
        <v>111</v>
      </c>
      <c r="B2" s="1" t="s">
        <v>1</v>
      </c>
      <c r="C2" s="1" t="s">
        <v>112</v>
      </c>
      <c r="D2" s="1" t="s">
        <v>113</v>
      </c>
      <c r="E2" s="1" t="s">
        <v>114</v>
      </c>
      <c r="F2" s="1" t="s">
        <v>5</v>
      </c>
      <c r="G2" s="1" t="s">
        <v>6</v>
      </c>
      <c r="H2" s="1" t="s">
        <v>7</v>
      </c>
      <c r="I2" s="1" t="s">
        <v>115</v>
      </c>
      <c r="J2" s="1" t="s">
        <v>4</v>
      </c>
      <c r="K2" s="1" t="s">
        <v>116</v>
      </c>
      <c r="L2" s="1" t="s">
        <v>10</v>
      </c>
      <c r="M2" s="1" t="s">
        <v>11</v>
      </c>
      <c r="N2" s="1" t="s">
        <v>117</v>
      </c>
    </row>
    <row r="3" spans="1:14" ht="79.5" customHeight="1">
      <c r="A3" s="2" t="s">
        <v>118</v>
      </c>
      <c r="B3" s="5" t="s">
        <v>12</v>
      </c>
      <c r="C3" s="11" t="s">
        <v>119</v>
      </c>
      <c r="D3" s="4" t="s">
        <v>120</v>
      </c>
      <c r="E3" s="31" t="s">
        <v>121</v>
      </c>
      <c r="F3" s="6" t="s">
        <v>16</v>
      </c>
      <c r="G3" s="7" t="s">
        <v>17</v>
      </c>
      <c r="H3" s="8" t="s">
        <v>18</v>
      </c>
      <c r="I3" s="32">
        <v>3</v>
      </c>
      <c r="J3" s="33" t="s">
        <v>122</v>
      </c>
      <c r="K3" s="4" t="s">
        <v>123</v>
      </c>
      <c r="L3" s="33" t="s">
        <v>19</v>
      </c>
      <c r="M3" s="4" t="s">
        <v>124</v>
      </c>
      <c r="N3" s="4" t="s">
        <v>125</v>
      </c>
    </row>
    <row r="4" spans="1:14" ht="79.5" customHeight="1">
      <c r="A4" s="2" t="s">
        <v>126</v>
      </c>
      <c r="B4" s="5" t="s">
        <v>12</v>
      </c>
      <c r="C4" s="11" t="s">
        <v>119</v>
      </c>
      <c r="D4" s="4" t="s">
        <v>127</v>
      </c>
      <c r="E4" s="31" t="s">
        <v>128</v>
      </c>
      <c r="F4" s="6" t="s">
        <v>16</v>
      </c>
      <c r="G4" s="7" t="s">
        <v>17</v>
      </c>
      <c r="H4" s="8" t="s">
        <v>18</v>
      </c>
      <c r="I4" s="32">
        <v>3</v>
      </c>
      <c r="J4" s="33" t="s">
        <v>122</v>
      </c>
      <c r="K4" s="4" t="s">
        <v>129</v>
      </c>
      <c r="L4" s="33" t="s">
        <v>19</v>
      </c>
      <c r="M4" s="4" t="s">
        <v>130</v>
      </c>
      <c r="N4" s="4" t="s">
        <v>131</v>
      </c>
    </row>
    <row r="5" spans="1:14" ht="79.5" customHeight="1">
      <c r="A5" s="2" t="s">
        <v>132</v>
      </c>
      <c r="B5" s="5" t="s">
        <v>12</v>
      </c>
      <c r="C5" s="11" t="s">
        <v>119</v>
      </c>
      <c r="D5" s="4" t="s">
        <v>133</v>
      </c>
      <c r="E5" s="31" t="s">
        <v>134</v>
      </c>
      <c r="F5" s="16" t="s">
        <v>67</v>
      </c>
      <c r="G5" s="7" t="s">
        <v>17</v>
      </c>
      <c r="H5" s="8" t="s">
        <v>18</v>
      </c>
      <c r="I5" s="32">
        <v>2</v>
      </c>
      <c r="J5" s="33" t="s">
        <v>122</v>
      </c>
      <c r="K5" s="4" t="s">
        <v>135</v>
      </c>
      <c r="L5" s="33" t="s">
        <v>118</v>
      </c>
      <c r="M5" s="4" t="s">
        <v>136</v>
      </c>
      <c r="N5" s="4" t="s">
        <v>137</v>
      </c>
    </row>
    <row r="6" spans="1:14" ht="79.5" customHeight="1">
      <c r="A6" s="2" t="s">
        <v>138</v>
      </c>
      <c r="B6" s="5" t="s">
        <v>12</v>
      </c>
      <c r="C6" s="11" t="s">
        <v>139</v>
      </c>
      <c r="D6" s="4" t="s">
        <v>140</v>
      </c>
      <c r="E6" s="31" t="s">
        <v>141</v>
      </c>
      <c r="F6" s="6" t="s">
        <v>16</v>
      </c>
      <c r="G6" s="7" t="s">
        <v>17</v>
      </c>
      <c r="H6" s="8" t="s">
        <v>18</v>
      </c>
      <c r="I6" s="32">
        <v>2</v>
      </c>
      <c r="J6" s="33" t="s">
        <v>122</v>
      </c>
      <c r="K6" s="4" t="s">
        <v>142</v>
      </c>
      <c r="L6" s="33" t="s">
        <v>19</v>
      </c>
      <c r="M6" s="4" t="s">
        <v>143</v>
      </c>
      <c r="N6" s="4" t="s">
        <v>144</v>
      </c>
    </row>
    <row r="7" spans="1:14" ht="79.5" customHeight="1">
      <c r="A7" s="2" t="s">
        <v>145</v>
      </c>
      <c r="B7" s="5" t="s">
        <v>12</v>
      </c>
      <c r="C7" s="11" t="s">
        <v>139</v>
      </c>
      <c r="D7" s="4" t="s">
        <v>146</v>
      </c>
      <c r="E7" s="31" t="s">
        <v>147</v>
      </c>
      <c r="F7" s="6" t="s">
        <v>16</v>
      </c>
      <c r="G7" s="7" t="s">
        <v>17</v>
      </c>
      <c r="H7" s="8" t="s">
        <v>18</v>
      </c>
      <c r="I7" s="32">
        <v>3</v>
      </c>
      <c r="J7" s="33" t="s">
        <v>122</v>
      </c>
      <c r="K7" s="4" t="s">
        <v>148</v>
      </c>
      <c r="L7" s="33" t="s">
        <v>138</v>
      </c>
      <c r="M7" s="4" t="s">
        <v>149</v>
      </c>
      <c r="N7" s="4" t="s">
        <v>150</v>
      </c>
    </row>
    <row r="8" spans="1:14" ht="79.5" customHeight="1">
      <c r="A8" s="2" t="s">
        <v>151</v>
      </c>
      <c r="B8" s="5" t="s">
        <v>12</v>
      </c>
      <c r="C8" s="11" t="s">
        <v>119</v>
      </c>
      <c r="D8" s="4" t="s">
        <v>152</v>
      </c>
      <c r="E8" s="31" t="s">
        <v>153</v>
      </c>
      <c r="F8" s="16" t="s">
        <v>67</v>
      </c>
      <c r="G8" s="7" t="s">
        <v>17</v>
      </c>
      <c r="H8" s="8" t="s">
        <v>18</v>
      </c>
      <c r="I8" s="32">
        <v>1</v>
      </c>
      <c r="J8" s="33" t="s">
        <v>122</v>
      </c>
      <c r="K8" s="4" t="s">
        <v>154</v>
      </c>
      <c r="L8" s="33" t="s">
        <v>118</v>
      </c>
      <c r="M8" s="4" t="s">
        <v>155</v>
      </c>
      <c r="N8" s="4" t="s">
        <v>156</v>
      </c>
    </row>
    <row r="9" spans="1:14" ht="79.5" customHeight="1">
      <c r="A9" s="2" t="s">
        <v>157</v>
      </c>
      <c r="B9" s="5" t="s">
        <v>12</v>
      </c>
      <c r="C9" s="11" t="s">
        <v>158</v>
      </c>
      <c r="D9" s="4" t="s">
        <v>159</v>
      </c>
      <c r="E9" s="31" t="s">
        <v>160</v>
      </c>
      <c r="F9" s="6" t="s">
        <v>16</v>
      </c>
      <c r="G9" s="7" t="s">
        <v>17</v>
      </c>
      <c r="H9" s="8" t="s">
        <v>18</v>
      </c>
      <c r="I9" s="32">
        <v>3</v>
      </c>
      <c r="J9" s="33" t="s">
        <v>158</v>
      </c>
      <c r="K9" s="4" t="s">
        <v>161</v>
      </c>
      <c r="L9" s="33" t="s">
        <v>162</v>
      </c>
      <c r="M9" s="4" t="s">
        <v>163</v>
      </c>
      <c r="N9" s="4" t="s">
        <v>164</v>
      </c>
    </row>
    <row r="10" spans="1:14" ht="79.5" customHeight="1">
      <c r="A10" s="2" t="s">
        <v>165</v>
      </c>
      <c r="B10" s="5" t="s">
        <v>12</v>
      </c>
      <c r="C10" s="11" t="s">
        <v>119</v>
      </c>
      <c r="D10" s="4" t="s">
        <v>166</v>
      </c>
      <c r="E10" s="31" t="s">
        <v>167</v>
      </c>
      <c r="F10" s="16" t="s">
        <v>67</v>
      </c>
      <c r="G10" s="7" t="s">
        <v>17</v>
      </c>
      <c r="H10" s="8" t="s">
        <v>18</v>
      </c>
      <c r="I10" s="32">
        <v>2</v>
      </c>
      <c r="J10" s="33" t="s">
        <v>122</v>
      </c>
      <c r="K10" s="4" t="s">
        <v>168</v>
      </c>
      <c r="L10" s="33" t="s">
        <v>118</v>
      </c>
      <c r="M10" s="4" t="s">
        <v>169</v>
      </c>
      <c r="N10" s="4" t="s">
        <v>156</v>
      </c>
    </row>
    <row r="11" spans="1:14" ht="79.5" customHeight="1">
      <c r="A11" s="12" t="s">
        <v>170</v>
      </c>
      <c r="B11" s="13" t="s">
        <v>21</v>
      </c>
      <c r="C11" s="11" t="s">
        <v>119</v>
      </c>
      <c r="D11" s="4" t="s">
        <v>171</v>
      </c>
      <c r="E11" s="31" t="s">
        <v>172</v>
      </c>
      <c r="F11" s="6" t="s">
        <v>16</v>
      </c>
      <c r="G11" s="7" t="s">
        <v>17</v>
      </c>
      <c r="H11" s="8" t="s">
        <v>18</v>
      </c>
      <c r="I11" s="32">
        <v>5</v>
      </c>
      <c r="J11" s="33" t="s">
        <v>173</v>
      </c>
      <c r="K11" s="4" t="s">
        <v>174</v>
      </c>
      <c r="L11" s="33" t="s">
        <v>118</v>
      </c>
      <c r="M11" s="4" t="s">
        <v>175</v>
      </c>
      <c r="N11" s="4" t="s">
        <v>176</v>
      </c>
    </row>
    <row r="12" spans="1:14" ht="79.5" customHeight="1">
      <c r="A12" s="12" t="s">
        <v>177</v>
      </c>
      <c r="B12" s="13" t="s">
        <v>21</v>
      </c>
      <c r="C12" s="11" t="s">
        <v>119</v>
      </c>
      <c r="D12" s="4" t="s">
        <v>178</v>
      </c>
      <c r="E12" s="31" t="s">
        <v>179</v>
      </c>
      <c r="F12" s="6" t="s">
        <v>16</v>
      </c>
      <c r="G12" s="7" t="s">
        <v>17</v>
      </c>
      <c r="H12" s="8" t="s">
        <v>18</v>
      </c>
      <c r="I12" s="32">
        <v>5</v>
      </c>
      <c r="J12" s="33" t="s">
        <v>173</v>
      </c>
      <c r="K12" s="4" t="s">
        <v>180</v>
      </c>
      <c r="L12" s="33" t="s">
        <v>170</v>
      </c>
      <c r="M12" s="4" t="s">
        <v>181</v>
      </c>
      <c r="N12" s="4" t="s">
        <v>182</v>
      </c>
    </row>
    <row r="13" spans="1:14" ht="79.5" customHeight="1">
      <c r="A13" s="12" t="s">
        <v>183</v>
      </c>
      <c r="B13" s="13" t="s">
        <v>21</v>
      </c>
      <c r="C13" s="11" t="s">
        <v>119</v>
      </c>
      <c r="D13" s="4" t="s">
        <v>184</v>
      </c>
      <c r="E13" s="31" t="s">
        <v>185</v>
      </c>
      <c r="F13" s="6" t="s">
        <v>16</v>
      </c>
      <c r="G13" s="7" t="s">
        <v>17</v>
      </c>
      <c r="H13" s="8" t="s">
        <v>18</v>
      </c>
      <c r="I13" s="32">
        <v>5</v>
      </c>
      <c r="J13" s="33" t="s">
        <v>173</v>
      </c>
      <c r="K13" s="4" t="s">
        <v>186</v>
      </c>
      <c r="L13" s="33" t="s">
        <v>187</v>
      </c>
      <c r="M13" s="4" t="s">
        <v>188</v>
      </c>
      <c r="N13" s="4" t="s">
        <v>189</v>
      </c>
    </row>
    <row r="14" spans="1:14" ht="79.5" customHeight="1">
      <c r="A14" s="12" t="s">
        <v>190</v>
      </c>
      <c r="B14" s="13" t="s">
        <v>21</v>
      </c>
      <c r="C14" s="11" t="s">
        <v>119</v>
      </c>
      <c r="D14" s="4" t="s">
        <v>191</v>
      </c>
      <c r="E14" s="31" t="s">
        <v>192</v>
      </c>
      <c r="F14" s="16" t="s">
        <v>67</v>
      </c>
      <c r="G14" s="7" t="s">
        <v>17</v>
      </c>
      <c r="H14" s="8" t="s">
        <v>18</v>
      </c>
      <c r="I14" s="32">
        <v>3</v>
      </c>
      <c r="J14" s="33" t="s">
        <v>173</v>
      </c>
      <c r="K14" s="4" t="s">
        <v>193</v>
      </c>
      <c r="L14" s="33" t="s">
        <v>177</v>
      </c>
      <c r="M14" s="4" t="s">
        <v>194</v>
      </c>
      <c r="N14" s="4" t="s">
        <v>195</v>
      </c>
    </row>
    <row r="15" spans="1:14" ht="79.5" customHeight="1">
      <c r="A15" s="12" t="s">
        <v>196</v>
      </c>
      <c r="B15" s="13" t="s">
        <v>21</v>
      </c>
      <c r="C15" s="11" t="s">
        <v>119</v>
      </c>
      <c r="D15" s="4" t="s">
        <v>197</v>
      </c>
      <c r="E15" s="31" t="s">
        <v>198</v>
      </c>
      <c r="F15" s="21" t="s">
        <v>96</v>
      </c>
      <c r="G15" s="7" t="s">
        <v>17</v>
      </c>
      <c r="H15" s="8" t="s">
        <v>18</v>
      </c>
      <c r="I15" s="32">
        <v>5</v>
      </c>
      <c r="J15" s="33" t="s">
        <v>173</v>
      </c>
      <c r="K15" s="4" t="s">
        <v>199</v>
      </c>
      <c r="L15" s="33" t="s">
        <v>187</v>
      </c>
      <c r="M15" s="4" t="s">
        <v>200</v>
      </c>
      <c r="N15" s="4" t="s">
        <v>201</v>
      </c>
    </row>
    <row r="16" spans="1:14" ht="79.5" customHeight="1">
      <c r="A16" s="12" t="s">
        <v>202</v>
      </c>
      <c r="B16" s="13" t="s">
        <v>21</v>
      </c>
      <c r="C16" s="11" t="s">
        <v>203</v>
      </c>
      <c r="D16" s="4" t="s">
        <v>204</v>
      </c>
      <c r="E16" s="31" t="s">
        <v>205</v>
      </c>
      <c r="F16" s="6" t="s">
        <v>16</v>
      </c>
      <c r="G16" s="7" t="s">
        <v>17</v>
      </c>
      <c r="H16" s="8" t="s">
        <v>18</v>
      </c>
      <c r="I16" s="32">
        <v>5</v>
      </c>
      <c r="J16" s="33" t="s">
        <v>29</v>
      </c>
      <c r="K16" s="4" t="s">
        <v>206</v>
      </c>
      <c r="L16" s="33" t="s">
        <v>170</v>
      </c>
      <c r="M16" s="4" t="s">
        <v>207</v>
      </c>
      <c r="N16" s="4" t="s">
        <v>208</v>
      </c>
    </row>
    <row r="17" spans="1:14" ht="79.5" customHeight="1">
      <c r="A17" s="12" t="s">
        <v>209</v>
      </c>
      <c r="B17" s="13" t="s">
        <v>21</v>
      </c>
      <c r="C17" s="11" t="s">
        <v>119</v>
      </c>
      <c r="D17" s="4" t="s">
        <v>210</v>
      </c>
      <c r="E17" s="31" t="s">
        <v>211</v>
      </c>
      <c r="F17" s="16" t="s">
        <v>67</v>
      </c>
      <c r="G17" s="7" t="s">
        <v>17</v>
      </c>
      <c r="H17" s="8" t="s">
        <v>18</v>
      </c>
      <c r="I17" s="32">
        <v>2</v>
      </c>
      <c r="J17" s="33" t="s">
        <v>173</v>
      </c>
      <c r="K17" s="4" t="s">
        <v>212</v>
      </c>
      <c r="L17" s="33" t="s">
        <v>213</v>
      </c>
      <c r="M17" s="4" t="s">
        <v>214</v>
      </c>
      <c r="N17" s="4" t="s">
        <v>215</v>
      </c>
    </row>
    <row r="18" spans="1:14" ht="79.5" customHeight="1">
      <c r="A18" s="14" t="s">
        <v>216</v>
      </c>
      <c r="B18" s="15" t="s">
        <v>26</v>
      </c>
      <c r="C18" s="11" t="s">
        <v>119</v>
      </c>
      <c r="D18" s="4" t="s">
        <v>217</v>
      </c>
      <c r="E18" s="31" t="s">
        <v>218</v>
      </c>
      <c r="F18" s="6" t="s">
        <v>16</v>
      </c>
      <c r="G18" s="7" t="s">
        <v>17</v>
      </c>
      <c r="H18" s="8" t="s">
        <v>18</v>
      </c>
      <c r="I18" s="32">
        <v>3</v>
      </c>
      <c r="J18" s="33" t="s">
        <v>27</v>
      </c>
      <c r="K18" s="4" t="s">
        <v>219</v>
      </c>
      <c r="L18" s="33" t="s">
        <v>183</v>
      </c>
      <c r="M18" s="4" t="s">
        <v>220</v>
      </c>
      <c r="N18" s="4" t="s">
        <v>221</v>
      </c>
    </row>
    <row r="19" spans="1:14" ht="79.5" customHeight="1">
      <c r="A19" s="14" t="s">
        <v>222</v>
      </c>
      <c r="B19" s="15" t="s">
        <v>26</v>
      </c>
      <c r="C19" s="11" t="s">
        <v>119</v>
      </c>
      <c r="D19" s="4" t="s">
        <v>223</v>
      </c>
      <c r="E19" s="31" t="s">
        <v>224</v>
      </c>
      <c r="F19" s="6" t="s">
        <v>16</v>
      </c>
      <c r="G19" s="7" t="s">
        <v>17</v>
      </c>
      <c r="H19" s="8" t="s">
        <v>18</v>
      </c>
      <c r="I19" s="32">
        <v>8</v>
      </c>
      <c r="J19" s="33" t="s">
        <v>27</v>
      </c>
      <c r="K19" s="4" t="s">
        <v>225</v>
      </c>
      <c r="L19" s="33" t="s">
        <v>226</v>
      </c>
      <c r="M19" s="4" t="s">
        <v>227</v>
      </c>
      <c r="N19" s="4" t="s">
        <v>228</v>
      </c>
    </row>
    <row r="20" spans="1:14" ht="79.5" customHeight="1">
      <c r="A20" s="14" t="s">
        <v>229</v>
      </c>
      <c r="B20" s="15" t="s">
        <v>26</v>
      </c>
      <c r="C20" s="11" t="s">
        <v>119</v>
      </c>
      <c r="D20" s="4" t="s">
        <v>230</v>
      </c>
      <c r="E20" s="31" t="s">
        <v>231</v>
      </c>
      <c r="F20" s="6" t="s">
        <v>16</v>
      </c>
      <c r="G20" s="7" t="s">
        <v>17</v>
      </c>
      <c r="H20" s="8" t="s">
        <v>18</v>
      </c>
      <c r="I20" s="32">
        <v>8</v>
      </c>
      <c r="J20" s="33" t="s">
        <v>27</v>
      </c>
      <c r="K20" s="4" t="s">
        <v>232</v>
      </c>
      <c r="L20" s="33" t="s">
        <v>226</v>
      </c>
      <c r="M20" s="4" t="s">
        <v>233</v>
      </c>
      <c r="N20" s="4" t="s">
        <v>234</v>
      </c>
    </row>
    <row r="21" spans="1:14" ht="79.5" customHeight="1">
      <c r="A21" s="14" t="s">
        <v>235</v>
      </c>
      <c r="B21" s="15" t="s">
        <v>26</v>
      </c>
      <c r="C21" s="11" t="s">
        <v>44</v>
      </c>
      <c r="D21" s="4" t="s">
        <v>236</v>
      </c>
      <c r="E21" s="31" t="s">
        <v>237</v>
      </c>
      <c r="F21" s="6" t="s">
        <v>16</v>
      </c>
      <c r="G21" s="7" t="s">
        <v>17</v>
      </c>
      <c r="H21" s="8" t="s">
        <v>18</v>
      </c>
      <c r="I21" s="32">
        <v>5</v>
      </c>
      <c r="J21" s="33" t="s">
        <v>27</v>
      </c>
      <c r="K21" s="4" t="s">
        <v>238</v>
      </c>
      <c r="L21" s="33" t="s">
        <v>32</v>
      </c>
      <c r="M21" s="4" t="s">
        <v>239</v>
      </c>
      <c r="N21" s="4" t="s">
        <v>240</v>
      </c>
    </row>
    <row r="22" spans="1:14" ht="79.5" customHeight="1">
      <c r="A22" s="14" t="s">
        <v>241</v>
      </c>
      <c r="B22" s="15" t="s">
        <v>26</v>
      </c>
      <c r="C22" s="11" t="s">
        <v>44</v>
      </c>
      <c r="D22" s="4" t="s">
        <v>242</v>
      </c>
      <c r="E22" s="31" t="s">
        <v>243</v>
      </c>
      <c r="F22" s="6" t="s">
        <v>16</v>
      </c>
      <c r="G22" s="7" t="s">
        <v>17</v>
      </c>
      <c r="H22" s="8" t="s">
        <v>18</v>
      </c>
      <c r="I22" s="32">
        <v>5</v>
      </c>
      <c r="J22" s="33" t="s">
        <v>27</v>
      </c>
      <c r="K22" s="4" t="s">
        <v>244</v>
      </c>
      <c r="L22" s="33" t="s">
        <v>235</v>
      </c>
      <c r="M22" s="4" t="s">
        <v>245</v>
      </c>
      <c r="N22" s="4" t="s">
        <v>246</v>
      </c>
    </row>
    <row r="23" spans="1:14" ht="79.5" customHeight="1">
      <c r="A23" s="14" t="s">
        <v>247</v>
      </c>
      <c r="B23" s="15" t="s">
        <v>26</v>
      </c>
      <c r="C23" s="11" t="s">
        <v>119</v>
      </c>
      <c r="D23" s="4" t="s">
        <v>248</v>
      </c>
      <c r="E23" s="31" t="s">
        <v>249</v>
      </c>
      <c r="F23" s="6" t="s">
        <v>16</v>
      </c>
      <c r="G23" s="7" t="s">
        <v>17</v>
      </c>
      <c r="H23" s="8" t="s">
        <v>18</v>
      </c>
      <c r="I23" s="32">
        <v>3</v>
      </c>
      <c r="J23" s="33" t="s">
        <v>27</v>
      </c>
      <c r="K23" s="4" t="s">
        <v>250</v>
      </c>
      <c r="L23" s="33" t="s">
        <v>241</v>
      </c>
      <c r="M23" s="4" t="s">
        <v>251</v>
      </c>
      <c r="N23" s="4" t="s">
        <v>252</v>
      </c>
    </row>
    <row r="24" spans="1:14" ht="79.5" customHeight="1">
      <c r="A24" s="14" t="s">
        <v>253</v>
      </c>
      <c r="B24" s="15" t="s">
        <v>26</v>
      </c>
      <c r="C24" s="11" t="s">
        <v>119</v>
      </c>
      <c r="D24" s="4" t="s">
        <v>254</v>
      </c>
      <c r="E24" s="31" t="s">
        <v>255</v>
      </c>
      <c r="F24" s="6" t="s">
        <v>16</v>
      </c>
      <c r="G24" s="7" t="s">
        <v>17</v>
      </c>
      <c r="H24" s="8" t="s">
        <v>18</v>
      </c>
      <c r="I24" s="32">
        <v>3</v>
      </c>
      <c r="J24" s="33" t="s">
        <v>27</v>
      </c>
      <c r="K24" s="4" t="s">
        <v>256</v>
      </c>
      <c r="L24" s="33" t="s">
        <v>257</v>
      </c>
      <c r="M24" s="4" t="s">
        <v>258</v>
      </c>
      <c r="N24" s="4" t="s">
        <v>259</v>
      </c>
    </row>
    <row r="25" spans="1:14" ht="79.5" customHeight="1">
      <c r="A25" s="14" t="s">
        <v>260</v>
      </c>
      <c r="B25" s="15" t="s">
        <v>26</v>
      </c>
      <c r="C25" s="11" t="s">
        <v>44</v>
      </c>
      <c r="D25" s="4" t="s">
        <v>261</v>
      </c>
      <c r="E25" s="31" t="s">
        <v>262</v>
      </c>
      <c r="F25" s="6" t="s">
        <v>16</v>
      </c>
      <c r="G25" s="7" t="s">
        <v>17</v>
      </c>
      <c r="H25" s="8" t="s">
        <v>18</v>
      </c>
      <c r="I25" s="32">
        <v>5</v>
      </c>
      <c r="J25" s="33" t="s">
        <v>27</v>
      </c>
      <c r="K25" s="4" t="s">
        <v>263</v>
      </c>
      <c r="L25" s="33" t="s">
        <v>235</v>
      </c>
      <c r="M25" s="4" t="s">
        <v>264</v>
      </c>
      <c r="N25" s="4" t="s">
        <v>265</v>
      </c>
    </row>
    <row r="26" spans="1:14" ht="79.5" customHeight="1">
      <c r="A26" s="14" t="s">
        <v>266</v>
      </c>
      <c r="B26" s="15" t="s">
        <v>26</v>
      </c>
      <c r="C26" s="11" t="s">
        <v>139</v>
      </c>
      <c r="D26" s="4" t="s">
        <v>267</v>
      </c>
      <c r="E26" s="31" t="s">
        <v>268</v>
      </c>
      <c r="F26" s="16" t="s">
        <v>67</v>
      </c>
      <c r="G26" s="7" t="s">
        <v>17</v>
      </c>
      <c r="H26" s="8" t="s">
        <v>18</v>
      </c>
      <c r="I26" s="32">
        <v>3</v>
      </c>
      <c r="J26" s="33" t="s">
        <v>27</v>
      </c>
      <c r="K26" s="4" t="s">
        <v>269</v>
      </c>
      <c r="L26" s="33" t="s">
        <v>270</v>
      </c>
      <c r="M26" s="4" t="s">
        <v>271</v>
      </c>
      <c r="N26" s="4" t="s">
        <v>272</v>
      </c>
    </row>
    <row r="27" spans="1:14" ht="79.5" customHeight="1">
      <c r="A27" s="14" t="s">
        <v>273</v>
      </c>
      <c r="B27" s="15" t="s">
        <v>26</v>
      </c>
      <c r="C27" s="11" t="s">
        <v>119</v>
      </c>
      <c r="D27" s="4" t="s">
        <v>274</v>
      </c>
      <c r="E27" s="31" t="s">
        <v>275</v>
      </c>
      <c r="F27" s="6" t="s">
        <v>16</v>
      </c>
      <c r="G27" s="7" t="s">
        <v>17</v>
      </c>
      <c r="H27" s="8" t="s">
        <v>18</v>
      </c>
      <c r="I27" s="32">
        <v>1</v>
      </c>
      <c r="J27" s="33" t="s">
        <v>27</v>
      </c>
      <c r="K27" s="4" t="s">
        <v>276</v>
      </c>
      <c r="L27" s="33" t="s">
        <v>241</v>
      </c>
      <c r="M27" s="4" t="s">
        <v>277</v>
      </c>
      <c r="N27" s="4" t="s">
        <v>278</v>
      </c>
    </row>
    <row r="28" spans="1:14" ht="79.5" customHeight="1">
      <c r="A28" s="14" t="s">
        <v>279</v>
      </c>
      <c r="B28" s="15" t="s">
        <v>26</v>
      </c>
      <c r="C28" s="11" t="s">
        <v>119</v>
      </c>
      <c r="D28" s="4" t="s">
        <v>280</v>
      </c>
      <c r="E28" s="31" t="s">
        <v>281</v>
      </c>
      <c r="F28" s="6" t="s">
        <v>16</v>
      </c>
      <c r="G28" s="7" t="s">
        <v>17</v>
      </c>
      <c r="H28" s="8" t="s">
        <v>18</v>
      </c>
      <c r="I28" s="32">
        <v>3</v>
      </c>
      <c r="J28" s="33" t="s">
        <v>27</v>
      </c>
      <c r="K28" s="4" t="s">
        <v>282</v>
      </c>
      <c r="L28" s="33" t="s">
        <v>241</v>
      </c>
      <c r="M28" s="4" t="s">
        <v>283</v>
      </c>
      <c r="N28" s="4" t="s">
        <v>284</v>
      </c>
    </row>
    <row r="29" spans="1:14" ht="79.5" customHeight="1">
      <c r="A29" s="14" t="s">
        <v>285</v>
      </c>
      <c r="B29" s="15" t="s">
        <v>26</v>
      </c>
      <c r="C29" s="11" t="s">
        <v>139</v>
      </c>
      <c r="D29" s="4" t="s">
        <v>286</v>
      </c>
      <c r="E29" s="31" t="s">
        <v>287</v>
      </c>
      <c r="F29" s="6" t="s">
        <v>16</v>
      </c>
      <c r="G29" s="7" t="s">
        <v>17</v>
      </c>
      <c r="H29" s="8" t="s">
        <v>18</v>
      </c>
      <c r="I29" s="32">
        <v>5</v>
      </c>
      <c r="J29" s="33" t="s">
        <v>27</v>
      </c>
      <c r="K29" s="4" t="s">
        <v>288</v>
      </c>
      <c r="L29" s="33" t="s">
        <v>289</v>
      </c>
      <c r="M29" s="4" t="s">
        <v>290</v>
      </c>
      <c r="N29" s="4" t="s">
        <v>291</v>
      </c>
    </row>
    <row r="30" spans="1:14" ht="79.5" customHeight="1">
      <c r="A30" s="14" t="s">
        <v>292</v>
      </c>
      <c r="B30" s="15" t="s">
        <v>26</v>
      </c>
      <c r="C30" s="11" t="s">
        <v>139</v>
      </c>
      <c r="D30" s="4" t="s">
        <v>293</v>
      </c>
      <c r="E30" s="31" t="s">
        <v>294</v>
      </c>
      <c r="F30" s="6" t="s">
        <v>16</v>
      </c>
      <c r="G30" s="7" t="s">
        <v>17</v>
      </c>
      <c r="H30" s="8" t="s">
        <v>18</v>
      </c>
      <c r="I30" s="32">
        <v>5</v>
      </c>
      <c r="J30" s="33" t="s">
        <v>27</v>
      </c>
      <c r="K30" s="4" t="s">
        <v>295</v>
      </c>
      <c r="L30" s="33" t="s">
        <v>296</v>
      </c>
      <c r="M30" s="4" t="s">
        <v>297</v>
      </c>
      <c r="N30" s="4" t="s">
        <v>298</v>
      </c>
    </row>
    <row r="31" spans="1:14" ht="79.5" customHeight="1">
      <c r="A31" s="16" t="s">
        <v>299</v>
      </c>
      <c r="B31" s="17" t="s">
        <v>32</v>
      </c>
      <c r="C31" s="11" t="s">
        <v>119</v>
      </c>
      <c r="D31" s="4" t="s">
        <v>300</v>
      </c>
      <c r="E31" s="31" t="s">
        <v>301</v>
      </c>
      <c r="F31" s="6" t="s">
        <v>16</v>
      </c>
      <c r="G31" s="7" t="s">
        <v>17</v>
      </c>
      <c r="H31" s="8" t="s">
        <v>18</v>
      </c>
      <c r="I31" s="32">
        <v>8</v>
      </c>
      <c r="J31" s="33" t="s">
        <v>302</v>
      </c>
      <c r="K31" s="4" t="s">
        <v>303</v>
      </c>
      <c r="L31" s="33" t="s">
        <v>304</v>
      </c>
      <c r="M31" s="4" t="s">
        <v>305</v>
      </c>
      <c r="N31" s="4" t="s">
        <v>306</v>
      </c>
    </row>
    <row r="32" spans="1:14" ht="79.5" customHeight="1">
      <c r="A32" s="16" t="s">
        <v>307</v>
      </c>
      <c r="B32" s="17" t="s">
        <v>32</v>
      </c>
      <c r="C32" s="11" t="s">
        <v>44</v>
      </c>
      <c r="D32" s="4" t="s">
        <v>308</v>
      </c>
      <c r="E32" s="31" t="s">
        <v>309</v>
      </c>
      <c r="F32" s="6" t="s">
        <v>16</v>
      </c>
      <c r="G32" s="7" t="s">
        <v>17</v>
      </c>
      <c r="H32" s="8" t="s">
        <v>18</v>
      </c>
      <c r="I32" s="32">
        <v>5</v>
      </c>
      <c r="J32" s="33" t="s">
        <v>302</v>
      </c>
      <c r="K32" s="4" t="s">
        <v>310</v>
      </c>
      <c r="L32" s="33" t="s">
        <v>299</v>
      </c>
      <c r="M32" s="4" t="s">
        <v>311</v>
      </c>
      <c r="N32" s="4" t="s">
        <v>312</v>
      </c>
    </row>
    <row r="33" spans="1:14" ht="79.5" customHeight="1">
      <c r="A33" s="16" t="s">
        <v>313</v>
      </c>
      <c r="B33" s="17" t="s">
        <v>32</v>
      </c>
      <c r="C33" s="11" t="s">
        <v>119</v>
      </c>
      <c r="D33" s="4" t="s">
        <v>314</v>
      </c>
      <c r="E33" s="31" t="s">
        <v>315</v>
      </c>
      <c r="F33" s="6" t="s">
        <v>16</v>
      </c>
      <c r="G33" s="7" t="s">
        <v>17</v>
      </c>
      <c r="H33" s="8" t="s">
        <v>18</v>
      </c>
      <c r="I33" s="32">
        <v>3</v>
      </c>
      <c r="J33" s="33" t="s">
        <v>302</v>
      </c>
      <c r="K33" s="4" t="s">
        <v>316</v>
      </c>
      <c r="L33" s="33" t="s">
        <v>299</v>
      </c>
      <c r="M33" s="4" t="s">
        <v>317</v>
      </c>
      <c r="N33" s="4" t="s">
        <v>318</v>
      </c>
    </row>
    <row r="34" spans="1:14" ht="79.5" customHeight="1">
      <c r="A34" s="16" t="s">
        <v>319</v>
      </c>
      <c r="B34" s="17" t="s">
        <v>32</v>
      </c>
      <c r="C34" s="11" t="s">
        <v>119</v>
      </c>
      <c r="D34" s="4" t="s">
        <v>320</v>
      </c>
      <c r="E34" s="31" t="s">
        <v>321</v>
      </c>
      <c r="F34" s="16" t="s">
        <v>67</v>
      </c>
      <c r="G34" s="7" t="s">
        <v>17</v>
      </c>
      <c r="H34" s="8" t="s">
        <v>18</v>
      </c>
      <c r="I34" s="32">
        <v>2</v>
      </c>
      <c r="J34" s="33" t="s">
        <v>302</v>
      </c>
      <c r="K34" s="4" t="s">
        <v>322</v>
      </c>
      <c r="L34" s="33" t="s">
        <v>323</v>
      </c>
      <c r="M34" s="4" t="s">
        <v>324</v>
      </c>
      <c r="N34" s="4" t="s">
        <v>325</v>
      </c>
    </row>
    <row r="35" spans="1:14" ht="79.5" customHeight="1">
      <c r="A35" s="16" t="s">
        <v>326</v>
      </c>
      <c r="B35" s="17" t="s">
        <v>32</v>
      </c>
      <c r="C35" s="11" t="s">
        <v>139</v>
      </c>
      <c r="D35" s="4" t="s">
        <v>327</v>
      </c>
      <c r="E35" s="31" t="s">
        <v>328</v>
      </c>
      <c r="F35" s="6" t="s">
        <v>16</v>
      </c>
      <c r="G35" s="7" t="s">
        <v>17</v>
      </c>
      <c r="H35" s="8" t="s">
        <v>18</v>
      </c>
      <c r="I35" s="32">
        <v>3</v>
      </c>
      <c r="J35" s="33" t="s">
        <v>302</v>
      </c>
      <c r="K35" s="4" t="s">
        <v>329</v>
      </c>
      <c r="L35" s="33" t="s">
        <v>296</v>
      </c>
      <c r="M35" s="4" t="s">
        <v>330</v>
      </c>
      <c r="N35" s="4" t="s">
        <v>331</v>
      </c>
    </row>
    <row r="36" spans="1:14" ht="79.5" customHeight="1">
      <c r="A36" s="16" t="s">
        <v>332</v>
      </c>
      <c r="B36" s="17" t="s">
        <v>32</v>
      </c>
      <c r="C36" s="11" t="s">
        <v>44</v>
      </c>
      <c r="D36" s="4" t="s">
        <v>333</v>
      </c>
      <c r="E36" s="31" t="s">
        <v>334</v>
      </c>
      <c r="F36" s="6" t="s">
        <v>16</v>
      </c>
      <c r="G36" s="7" t="s">
        <v>17</v>
      </c>
      <c r="H36" s="8" t="s">
        <v>18</v>
      </c>
      <c r="I36" s="32">
        <v>3</v>
      </c>
      <c r="J36" s="33" t="s">
        <v>302</v>
      </c>
      <c r="K36" s="4" t="s">
        <v>335</v>
      </c>
      <c r="L36" s="33" t="s">
        <v>336</v>
      </c>
      <c r="M36" s="4" t="s">
        <v>337</v>
      </c>
      <c r="N36" s="4" t="s">
        <v>338</v>
      </c>
    </row>
    <row r="37" spans="1:14" ht="79.5" customHeight="1">
      <c r="A37" s="16" t="s">
        <v>339</v>
      </c>
      <c r="B37" s="17" t="s">
        <v>32</v>
      </c>
      <c r="C37" s="11" t="s">
        <v>44</v>
      </c>
      <c r="D37" s="4" t="s">
        <v>340</v>
      </c>
      <c r="E37" s="31" t="s">
        <v>341</v>
      </c>
      <c r="F37" s="6" t="s">
        <v>16</v>
      </c>
      <c r="G37" s="7" t="s">
        <v>17</v>
      </c>
      <c r="H37" s="8" t="s">
        <v>18</v>
      </c>
      <c r="I37" s="32">
        <v>3</v>
      </c>
      <c r="J37" s="33" t="s">
        <v>302</v>
      </c>
      <c r="K37" s="4" t="s">
        <v>342</v>
      </c>
      <c r="L37" s="33" t="s">
        <v>299</v>
      </c>
      <c r="M37" s="4" t="s">
        <v>343</v>
      </c>
      <c r="N37" s="4" t="s">
        <v>344</v>
      </c>
    </row>
    <row r="38" spans="1:14" ht="79.5" customHeight="1">
      <c r="A38" s="16" t="s">
        <v>345</v>
      </c>
      <c r="B38" s="17" t="s">
        <v>32</v>
      </c>
      <c r="C38" s="11" t="s">
        <v>139</v>
      </c>
      <c r="D38" s="4" t="s">
        <v>346</v>
      </c>
      <c r="E38" s="31" t="s">
        <v>347</v>
      </c>
      <c r="F38" s="16" t="s">
        <v>67</v>
      </c>
      <c r="G38" s="7" t="s">
        <v>17</v>
      </c>
      <c r="H38" s="8" t="s">
        <v>18</v>
      </c>
      <c r="I38" s="32">
        <v>3</v>
      </c>
      <c r="J38" s="33" t="s">
        <v>302</v>
      </c>
      <c r="K38" s="4" t="s">
        <v>348</v>
      </c>
      <c r="L38" s="33" t="s">
        <v>307</v>
      </c>
      <c r="M38" s="4" t="s">
        <v>349</v>
      </c>
      <c r="N38" s="4" t="s">
        <v>350</v>
      </c>
    </row>
    <row r="39" spans="1:14" ht="79.5" customHeight="1">
      <c r="A39" s="16" t="s">
        <v>351</v>
      </c>
      <c r="B39" s="17" t="s">
        <v>32</v>
      </c>
      <c r="C39" s="11" t="s">
        <v>44</v>
      </c>
      <c r="D39" s="4" t="s">
        <v>352</v>
      </c>
      <c r="E39" s="31" t="s">
        <v>353</v>
      </c>
      <c r="F39" s="6" t="s">
        <v>16</v>
      </c>
      <c r="G39" s="7" t="s">
        <v>17</v>
      </c>
      <c r="H39" s="8" t="s">
        <v>18</v>
      </c>
      <c r="I39" s="32">
        <v>2</v>
      </c>
      <c r="J39" s="33" t="s">
        <v>302</v>
      </c>
      <c r="K39" s="4" t="s">
        <v>354</v>
      </c>
      <c r="L39" s="33" t="s">
        <v>299</v>
      </c>
      <c r="M39" s="4" t="s">
        <v>355</v>
      </c>
      <c r="N39" s="4" t="s">
        <v>356</v>
      </c>
    </row>
    <row r="40" spans="1:14" ht="79.5" customHeight="1">
      <c r="A40" s="6" t="s">
        <v>357</v>
      </c>
      <c r="B40" s="18" t="s">
        <v>36</v>
      </c>
      <c r="C40" s="11" t="s">
        <v>44</v>
      </c>
      <c r="D40" s="4" t="s">
        <v>358</v>
      </c>
      <c r="E40" s="31" t="s">
        <v>359</v>
      </c>
      <c r="F40" s="6" t="s">
        <v>16</v>
      </c>
      <c r="G40" s="7" t="s">
        <v>17</v>
      </c>
      <c r="H40" s="8" t="s">
        <v>18</v>
      </c>
      <c r="I40" s="32">
        <v>5</v>
      </c>
      <c r="J40" s="33" t="s">
        <v>360</v>
      </c>
      <c r="K40" s="4" t="s">
        <v>361</v>
      </c>
      <c r="L40" s="33" t="s">
        <v>362</v>
      </c>
      <c r="M40" s="4" t="s">
        <v>363</v>
      </c>
      <c r="N40" s="4" t="s">
        <v>364</v>
      </c>
    </row>
    <row r="41" spans="1:14" ht="79.5" customHeight="1">
      <c r="A41" s="6" t="s">
        <v>365</v>
      </c>
      <c r="B41" s="18" t="s">
        <v>36</v>
      </c>
      <c r="C41" s="11" t="s">
        <v>44</v>
      </c>
      <c r="D41" s="4" t="s">
        <v>366</v>
      </c>
      <c r="E41" s="31" t="s">
        <v>367</v>
      </c>
      <c r="F41" s="6" t="s">
        <v>16</v>
      </c>
      <c r="G41" s="7" t="s">
        <v>17</v>
      </c>
      <c r="H41" s="8" t="s">
        <v>18</v>
      </c>
      <c r="I41" s="32">
        <v>3</v>
      </c>
      <c r="J41" s="33" t="s">
        <v>360</v>
      </c>
      <c r="K41" s="4" t="s">
        <v>368</v>
      </c>
      <c r="L41" s="33" t="s">
        <v>369</v>
      </c>
      <c r="M41" s="4" t="s">
        <v>370</v>
      </c>
      <c r="N41" s="4" t="s">
        <v>371</v>
      </c>
    </row>
    <row r="42" spans="1:14" ht="79.5" customHeight="1">
      <c r="A42" s="6" t="s">
        <v>372</v>
      </c>
      <c r="B42" s="18" t="s">
        <v>36</v>
      </c>
      <c r="C42" s="11" t="s">
        <v>119</v>
      </c>
      <c r="D42" s="4" t="s">
        <v>373</v>
      </c>
      <c r="E42" s="31" t="s">
        <v>374</v>
      </c>
      <c r="F42" s="6" t="s">
        <v>16</v>
      </c>
      <c r="G42" s="7" t="s">
        <v>17</v>
      </c>
      <c r="H42" s="8" t="s">
        <v>18</v>
      </c>
      <c r="I42" s="32">
        <v>3</v>
      </c>
      <c r="J42" s="33" t="s">
        <v>360</v>
      </c>
      <c r="K42" s="4" t="s">
        <v>375</v>
      </c>
      <c r="L42" s="33" t="s">
        <v>376</v>
      </c>
      <c r="M42" s="4" t="s">
        <v>377</v>
      </c>
      <c r="N42" s="4" t="s">
        <v>378</v>
      </c>
    </row>
    <row r="43" spans="1:14" ht="79.5" customHeight="1">
      <c r="A43" s="6" t="s">
        <v>379</v>
      </c>
      <c r="B43" s="18" t="s">
        <v>36</v>
      </c>
      <c r="C43" s="11" t="s">
        <v>158</v>
      </c>
      <c r="D43" s="4" t="s">
        <v>380</v>
      </c>
      <c r="E43" s="31" t="s">
        <v>381</v>
      </c>
      <c r="F43" s="6" t="s">
        <v>16</v>
      </c>
      <c r="G43" s="7" t="s">
        <v>17</v>
      </c>
      <c r="H43" s="8" t="s">
        <v>18</v>
      </c>
      <c r="I43" s="32">
        <v>3</v>
      </c>
      <c r="J43" s="33" t="s">
        <v>360</v>
      </c>
      <c r="K43" s="4" t="s">
        <v>382</v>
      </c>
      <c r="L43" s="33" t="s">
        <v>383</v>
      </c>
      <c r="M43" s="4" t="s">
        <v>384</v>
      </c>
      <c r="N43" s="4" t="s">
        <v>385</v>
      </c>
    </row>
    <row r="44" spans="1:14" ht="79.5" customHeight="1">
      <c r="A44" s="6" t="s">
        <v>386</v>
      </c>
      <c r="B44" s="18" t="s">
        <v>36</v>
      </c>
      <c r="C44" s="11" t="s">
        <v>44</v>
      </c>
      <c r="D44" s="4" t="s">
        <v>387</v>
      </c>
      <c r="E44" s="31" t="s">
        <v>388</v>
      </c>
      <c r="F44" s="6" t="s">
        <v>16</v>
      </c>
      <c r="G44" s="7" t="s">
        <v>17</v>
      </c>
      <c r="H44" s="8" t="s">
        <v>18</v>
      </c>
      <c r="I44" s="32">
        <v>2</v>
      </c>
      <c r="J44" s="33" t="s">
        <v>360</v>
      </c>
      <c r="K44" s="4" t="s">
        <v>389</v>
      </c>
      <c r="L44" s="33" t="s">
        <v>357</v>
      </c>
      <c r="M44" s="4" t="s">
        <v>390</v>
      </c>
      <c r="N44" s="4" t="s">
        <v>391</v>
      </c>
    </row>
    <row r="45" spans="1:14" ht="79.5" customHeight="1">
      <c r="A45" s="6" t="s">
        <v>392</v>
      </c>
      <c r="B45" s="18" t="s">
        <v>36</v>
      </c>
      <c r="C45" s="11" t="s">
        <v>119</v>
      </c>
      <c r="D45" s="4" t="s">
        <v>393</v>
      </c>
      <c r="E45" s="31" t="s">
        <v>394</v>
      </c>
      <c r="F45" s="6" t="s">
        <v>16</v>
      </c>
      <c r="G45" s="7" t="s">
        <v>17</v>
      </c>
      <c r="H45" s="8" t="s">
        <v>18</v>
      </c>
      <c r="I45" s="32">
        <v>3</v>
      </c>
      <c r="J45" s="33" t="s">
        <v>360</v>
      </c>
      <c r="K45" s="4" t="s">
        <v>395</v>
      </c>
      <c r="L45" s="33" t="s">
        <v>396</v>
      </c>
      <c r="M45" s="4" t="s">
        <v>397</v>
      </c>
      <c r="N45" s="4" t="s">
        <v>398</v>
      </c>
    </row>
    <row r="46" spans="1:14" ht="79.5" customHeight="1">
      <c r="A46" s="6" t="s">
        <v>399</v>
      </c>
      <c r="B46" s="18" t="s">
        <v>36</v>
      </c>
      <c r="C46" s="11" t="s">
        <v>139</v>
      </c>
      <c r="D46" s="4" t="s">
        <v>400</v>
      </c>
      <c r="E46" s="31" t="s">
        <v>401</v>
      </c>
      <c r="F46" s="6" t="s">
        <v>16</v>
      </c>
      <c r="G46" s="7" t="s">
        <v>17</v>
      </c>
      <c r="H46" s="8" t="s">
        <v>18</v>
      </c>
      <c r="I46" s="32">
        <v>2</v>
      </c>
      <c r="J46" s="33" t="s">
        <v>360</v>
      </c>
      <c r="K46" s="4" t="s">
        <v>402</v>
      </c>
      <c r="L46" s="33" t="s">
        <v>403</v>
      </c>
      <c r="M46" s="4" t="s">
        <v>404</v>
      </c>
      <c r="N46" s="4" t="s">
        <v>405</v>
      </c>
    </row>
    <row r="47" spans="1:14" ht="79.5" customHeight="1">
      <c r="A47" s="19" t="s">
        <v>406</v>
      </c>
      <c r="B47" s="20" t="s">
        <v>41</v>
      </c>
      <c r="C47" s="11" t="s">
        <v>119</v>
      </c>
      <c r="D47" s="4" t="s">
        <v>407</v>
      </c>
      <c r="E47" s="31" t="s">
        <v>408</v>
      </c>
      <c r="F47" s="6" t="s">
        <v>16</v>
      </c>
      <c r="G47" s="7" t="s">
        <v>17</v>
      </c>
      <c r="H47" s="8" t="s">
        <v>18</v>
      </c>
      <c r="I47" s="32">
        <v>3</v>
      </c>
      <c r="J47" s="33" t="s">
        <v>42</v>
      </c>
      <c r="K47" s="4" t="s">
        <v>409</v>
      </c>
      <c r="L47" s="33" t="s">
        <v>410</v>
      </c>
      <c r="M47" s="4" t="s">
        <v>411</v>
      </c>
      <c r="N47" s="4" t="s">
        <v>412</v>
      </c>
    </row>
    <row r="48" spans="1:14" ht="79.5" customHeight="1">
      <c r="A48" s="19" t="s">
        <v>413</v>
      </c>
      <c r="B48" s="20" t="s">
        <v>41</v>
      </c>
      <c r="C48" s="11" t="s">
        <v>119</v>
      </c>
      <c r="D48" s="4" t="s">
        <v>414</v>
      </c>
      <c r="E48" s="31" t="s">
        <v>415</v>
      </c>
      <c r="F48" s="6" t="s">
        <v>16</v>
      </c>
      <c r="G48" s="7" t="s">
        <v>17</v>
      </c>
      <c r="H48" s="8" t="s">
        <v>18</v>
      </c>
      <c r="I48" s="32">
        <v>3</v>
      </c>
      <c r="J48" s="33" t="s">
        <v>42</v>
      </c>
      <c r="K48" s="4" t="s">
        <v>416</v>
      </c>
      <c r="L48" s="33" t="s">
        <v>406</v>
      </c>
      <c r="M48" s="4" t="s">
        <v>417</v>
      </c>
      <c r="N48" s="4" t="s">
        <v>418</v>
      </c>
    </row>
    <row r="49" spans="1:14" ht="79.5" customHeight="1">
      <c r="A49" s="19" t="s">
        <v>419</v>
      </c>
      <c r="B49" s="20" t="s">
        <v>41</v>
      </c>
      <c r="C49" s="11" t="s">
        <v>119</v>
      </c>
      <c r="D49" s="4" t="s">
        <v>420</v>
      </c>
      <c r="E49" s="31" t="s">
        <v>421</v>
      </c>
      <c r="F49" s="16" t="s">
        <v>67</v>
      </c>
      <c r="G49" s="7" t="s">
        <v>17</v>
      </c>
      <c r="H49" s="8" t="s">
        <v>18</v>
      </c>
      <c r="I49" s="32">
        <v>2</v>
      </c>
      <c r="J49" s="33" t="s">
        <v>42</v>
      </c>
      <c r="K49" s="4" t="s">
        <v>422</v>
      </c>
      <c r="L49" s="33" t="s">
        <v>423</v>
      </c>
      <c r="M49" s="4" t="s">
        <v>424</v>
      </c>
      <c r="N49" s="4" t="s">
        <v>425</v>
      </c>
    </row>
    <row r="50" spans="1:14" ht="79.5" customHeight="1">
      <c r="A50" s="19" t="s">
        <v>426</v>
      </c>
      <c r="B50" s="20" t="s">
        <v>41</v>
      </c>
      <c r="C50" s="11" t="s">
        <v>119</v>
      </c>
      <c r="D50" s="4" t="s">
        <v>427</v>
      </c>
      <c r="E50" s="31" t="s">
        <v>428</v>
      </c>
      <c r="F50" s="6" t="s">
        <v>16</v>
      </c>
      <c r="G50" s="7" t="s">
        <v>17</v>
      </c>
      <c r="H50" s="8" t="s">
        <v>18</v>
      </c>
      <c r="I50" s="32">
        <v>2</v>
      </c>
      <c r="J50" s="33" t="s">
        <v>42</v>
      </c>
      <c r="K50" s="4" t="s">
        <v>429</v>
      </c>
      <c r="L50" s="33" t="s">
        <v>430</v>
      </c>
      <c r="M50" s="4" t="s">
        <v>431</v>
      </c>
      <c r="N50" s="4" t="s">
        <v>432</v>
      </c>
    </row>
    <row r="51" spans="1:14" ht="79.5" customHeight="1">
      <c r="A51" s="19" t="s">
        <v>433</v>
      </c>
      <c r="B51" s="20" t="s">
        <v>41</v>
      </c>
      <c r="C51" s="11" t="s">
        <v>139</v>
      </c>
      <c r="D51" s="4" t="s">
        <v>434</v>
      </c>
      <c r="E51" s="31" t="s">
        <v>435</v>
      </c>
      <c r="F51" s="6" t="s">
        <v>16</v>
      </c>
      <c r="G51" s="7" t="s">
        <v>17</v>
      </c>
      <c r="H51" s="8" t="s">
        <v>18</v>
      </c>
      <c r="I51" s="32">
        <v>2</v>
      </c>
      <c r="J51" s="33" t="s">
        <v>42</v>
      </c>
      <c r="K51" s="4" t="s">
        <v>436</v>
      </c>
      <c r="L51" s="33" t="s">
        <v>241</v>
      </c>
      <c r="M51" s="4" t="s">
        <v>437</v>
      </c>
      <c r="N51" s="4" t="s">
        <v>438</v>
      </c>
    </row>
    <row r="52" spans="1:14" ht="79.5" customHeight="1">
      <c r="A52" s="19" t="s">
        <v>439</v>
      </c>
      <c r="B52" s="20" t="s">
        <v>41</v>
      </c>
      <c r="C52" s="11" t="s">
        <v>44</v>
      </c>
      <c r="D52" s="4" t="s">
        <v>440</v>
      </c>
      <c r="E52" s="31" t="s">
        <v>441</v>
      </c>
      <c r="F52" s="6" t="s">
        <v>16</v>
      </c>
      <c r="G52" s="7" t="s">
        <v>17</v>
      </c>
      <c r="H52" s="8" t="s">
        <v>18</v>
      </c>
      <c r="I52" s="32">
        <v>5</v>
      </c>
      <c r="J52" s="33" t="s">
        <v>42</v>
      </c>
      <c r="K52" s="4" t="s">
        <v>442</v>
      </c>
      <c r="L52" s="33" t="s">
        <v>19</v>
      </c>
      <c r="M52" s="4" t="s">
        <v>443</v>
      </c>
      <c r="N52" s="4" t="s">
        <v>444</v>
      </c>
    </row>
    <row r="53" spans="1:14" ht="79.5" customHeight="1">
      <c r="A53" s="19" t="s">
        <v>445</v>
      </c>
      <c r="B53" s="20" t="s">
        <v>41</v>
      </c>
      <c r="C53" s="11" t="s">
        <v>139</v>
      </c>
      <c r="D53" s="4" t="s">
        <v>446</v>
      </c>
      <c r="E53" s="31" t="s">
        <v>447</v>
      </c>
      <c r="F53" s="16" t="s">
        <v>67</v>
      </c>
      <c r="G53" s="17" t="s">
        <v>73</v>
      </c>
      <c r="H53" s="8" t="s">
        <v>18</v>
      </c>
      <c r="I53" s="32">
        <v>2</v>
      </c>
      <c r="J53" s="33" t="s">
        <v>42</v>
      </c>
      <c r="K53" s="4" t="s">
        <v>448</v>
      </c>
      <c r="L53" s="33" t="s">
        <v>449</v>
      </c>
      <c r="M53" s="4" t="s">
        <v>450</v>
      </c>
      <c r="N53" s="4" t="s">
        <v>451</v>
      </c>
    </row>
    <row r="54" spans="1:14" ht="79.5" customHeight="1">
      <c r="A54" s="19" t="s">
        <v>452</v>
      </c>
      <c r="B54" s="20" t="s">
        <v>41</v>
      </c>
      <c r="C54" s="11" t="s">
        <v>44</v>
      </c>
      <c r="D54" s="4" t="s">
        <v>453</v>
      </c>
      <c r="E54" s="31" t="s">
        <v>454</v>
      </c>
      <c r="F54" s="6" t="s">
        <v>16</v>
      </c>
      <c r="G54" s="7" t="s">
        <v>17</v>
      </c>
      <c r="H54" s="8" t="s">
        <v>18</v>
      </c>
      <c r="I54" s="32">
        <v>2</v>
      </c>
      <c r="J54" s="33" t="s">
        <v>42</v>
      </c>
      <c r="K54" s="4" t="s">
        <v>455</v>
      </c>
      <c r="L54" s="33" t="s">
        <v>41</v>
      </c>
      <c r="M54" s="4" t="s">
        <v>456</v>
      </c>
      <c r="N54" s="4" t="s">
        <v>457</v>
      </c>
    </row>
    <row r="55" spans="1:14" ht="79.5" customHeight="1">
      <c r="A55" s="21" t="s">
        <v>458</v>
      </c>
      <c r="B55" s="7" t="s">
        <v>47</v>
      </c>
      <c r="C55" s="11" t="s">
        <v>139</v>
      </c>
      <c r="D55" s="4" t="s">
        <v>459</v>
      </c>
      <c r="E55" s="31" t="s">
        <v>460</v>
      </c>
      <c r="F55" s="6" t="s">
        <v>16</v>
      </c>
      <c r="G55" s="7" t="s">
        <v>17</v>
      </c>
      <c r="H55" s="8" t="s">
        <v>18</v>
      </c>
      <c r="I55" s="32">
        <v>5</v>
      </c>
      <c r="J55" s="33" t="s">
        <v>48</v>
      </c>
      <c r="K55" s="4" t="s">
        <v>461</v>
      </c>
      <c r="L55" s="33" t="s">
        <v>462</v>
      </c>
      <c r="M55" s="4" t="s">
        <v>463</v>
      </c>
      <c r="N55" s="4" t="s">
        <v>464</v>
      </c>
    </row>
    <row r="56" spans="1:14" ht="79.5" customHeight="1">
      <c r="A56" s="21" t="s">
        <v>465</v>
      </c>
      <c r="B56" s="7" t="s">
        <v>47</v>
      </c>
      <c r="C56" s="11" t="s">
        <v>139</v>
      </c>
      <c r="D56" s="4" t="s">
        <v>466</v>
      </c>
      <c r="E56" s="31" t="s">
        <v>467</v>
      </c>
      <c r="F56" s="6" t="s">
        <v>16</v>
      </c>
      <c r="G56" s="7" t="s">
        <v>17</v>
      </c>
      <c r="H56" s="8" t="s">
        <v>18</v>
      </c>
      <c r="I56" s="32">
        <v>5</v>
      </c>
      <c r="J56" s="33" t="s">
        <v>48</v>
      </c>
      <c r="K56" s="4" t="s">
        <v>468</v>
      </c>
      <c r="L56" s="33" t="s">
        <v>362</v>
      </c>
      <c r="M56" s="4" t="s">
        <v>469</v>
      </c>
      <c r="N56" s="4" t="s">
        <v>470</v>
      </c>
    </row>
    <row r="57" spans="1:14" ht="79.5" customHeight="1">
      <c r="A57" s="21" t="s">
        <v>471</v>
      </c>
      <c r="B57" s="7" t="s">
        <v>47</v>
      </c>
      <c r="C57" s="11" t="s">
        <v>139</v>
      </c>
      <c r="D57" s="4" t="s">
        <v>472</v>
      </c>
      <c r="E57" s="31" t="s">
        <v>473</v>
      </c>
      <c r="F57" s="6" t="s">
        <v>16</v>
      </c>
      <c r="G57" s="7" t="s">
        <v>17</v>
      </c>
      <c r="H57" s="8" t="s">
        <v>18</v>
      </c>
      <c r="I57" s="32">
        <v>3</v>
      </c>
      <c r="J57" s="33" t="s">
        <v>48</v>
      </c>
      <c r="K57" s="4" t="s">
        <v>474</v>
      </c>
      <c r="L57" s="33" t="s">
        <v>475</v>
      </c>
      <c r="M57" s="4" t="s">
        <v>476</v>
      </c>
      <c r="N57" s="4" t="s">
        <v>477</v>
      </c>
    </row>
    <row r="58" spans="1:14" ht="79.5" customHeight="1">
      <c r="A58" s="21" t="s">
        <v>478</v>
      </c>
      <c r="B58" s="7" t="s">
        <v>47</v>
      </c>
      <c r="C58" s="11" t="s">
        <v>139</v>
      </c>
      <c r="D58" s="4" t="s">
        <v>479</v>
      </c>
      <c r="E58" s="31" t="s">
        <v>480</v>
      </c>
      <c r="F58" s="6" t="s">
        <v>16</v>
      </c>
      <c r="G58" s="7" t="s">
        <v>17</v>
      </c>
      <c r="H58" s="8" t="s">
        <v>18</v>
      </c>
      <c r="I58" s="32">
        <v>3</v>
      </c>
      <c r="J58" s="33" t="s">
        <v>48</v>
      </c>
      <c r="K58" s="4" t="s">
        <v>481</v>
      </c>
      <c r="L58" s="33" t="s">
        <v>285</v>
      </c>
      <c r="M58" s="4" t="s">
        <v>482</v>
      </c>
      <c r="N58" s="4" t="s">
        <v>483</v>
      </c>
    </row>
    <row r="59" spans="1:14" ht="79.5" customHeight="1">
      <c r="A59" s="21" t="s">
        <v>484</v>
      </c>
      <c r="B59" s="7" t="s">
        <v>47</v>
      </c>
      <c r="C59" s="11" t="s">
        <v>139</v>
      </c>
      <c r="D59" s="4" t="s">
        <v>485</v>
      </c>
      <c r="E59" s="31" t="s">
        <v>486</v>
      </c>
      <c r="F59" s="6" t="s">
        <v>16</v>
      </c>
      <c r="G59" s="7" t="s">
        <v>17</v>
      </c>
      <c r="H59" s="8" t="s">
        <v>18</v>
      </c>
      <c r="I59" s="32">
        <v>3</v>
      </c>
      <c r="J59" s="33" t="s">
        <v>48</v>
      </c>
      <c r="K59" s="4" t="s">
        <v>487</v>
      </c>
      <c r="L59" s="33" t="s">
        <v>488</v>
      </c>
      <c r="M59" s="4" t="s">
        <v>489</v>
      </c>
      <c r="N59" s="4" t="s">
        <v>490</v>
      </c>
    </row>
    <row r="60" spans="1:14" ht="79.5" customHeight="1">
      <c r="A60" s="21" t="s">
        <v>491</v>
      </c>
      <c r="B60" s="7" t="s">
        <v>47</v>
      </c>
      <c r="C60" s="11" t="s">
        <v>139</v>
      </c>
      <c r="D60" s="4" t="s">
        <v>492</v>
      </c>
      <c r="E60" s="31" t="s">
        <v>493</v>
      </c>
      <c r="F60" s="6" t="s">
        <v>16</v>
      </c>
      <c r="G60" s="7" t="s">
        <v>17</v>
      </c>
      <c r="H60" s="8" t="s">
        <v>18</v>
      </c>
      <c r="I60" s="32">
        <v>3</v>
      </c>
      <c r="J60" s="33" t="s">
        <v>48</v>
      </c>
      <c r="K60" s="4" t="s">
        <v>494</v>
      </c>
      <c r="L60" s="33" t="s">
        <v>285</v>
      </c>
      <c r="M60" s="4" t="s">
        <v>495</v>
      </c>
      <c r="N60" s="4" t="s">
        <v>496</v>
      </c>
    </row>
    <row r="61" spans="1:14" ht="79.5" customHeight="1">
      <c r="A61" s="21" t="s">
        <v>497</v>
      </c>
      <c r="B61" s="7" t="s">
        <v>47</v>
      </c>
      <c r="C61" s="11" t="s">
        <v>139</v>
      </c>
      <c r="D61" s="4" t="s">
        <v>498</v>
      </c>
      <c r="E61" s="31" t="s">
        <v>499</v>
      </c>
      <c r="F61" s="16" t="s">
        <v>67</v>
      </c>
      <c r="G61" s="7" t="s">
        <v>17</v>
      </c>
      <c r="H61" s="8" t="s">
        <v>18</v>
      </c>
      <c r="I61" s="32">
        <v>2</v>
      </c>
      <c r="J61" s="33" t="s">
        <v>48</v>
      </c>
      <c r="K61" s="4" t="s">
        <v>500</v>
      </c>
      <c r="L61" s="33" t="s">
        <v>501</v>
      </c>
      <c r="M61" s="4" t="s">
        <v>502</v>
      </c>
      <c r="N61" s="4" t="s">
        <v>503</v>
      </c>
    </row>
    <row r="62" spans="1:14" ht="79.5" customHeight="1">
      <c r="A62" s="21" t="s">
        <v>504</v>
      </c>
      <c r="B62" s="7" t="s">
        <v>47</v>
      </c>
      <c r="C62" s="11" t="s">
        <v>139</v>
      </c>
      <c r="D62" s="4" t="s">
        <v>505</v>
      </c>
      <c r="E62" s="31" t="s">
        <v>506</v>
      </c>
      <c r="F62" s="16" t="s">
        <v>67</v>
      </c>
      <c r="G62" s="7" t="s">
        <v>17</v>
      </c>
      <c r="H62" s="8" t="s">
        <v>18</v>
      </c>
      <c r="I62" s="32">
        <v>3</v>
      </c>
      <c r="J62" s="33" t="s">
        <v>48</v>
      </c>
      <c r="K62" s="4" t="s">
        <v>507</v>
      </c>
      <c r="L62" s="33" t="s">
        <v>462</v>
      </c>
      <c r="M62" s="4" t="s">
        <v>508</v>
      </c>
      <c r="N62" s="4" t="s">
        <v>509</v>
      </c>
    </row>
    <row r="63" spans="1:14" ht="79.5" customHeight="1">
      <c r="A63" s="21" t="s">
        <v>510</v>
      </c>
      <c r="B63" s="7" t="s">
        <v>47</v>
      </c>
      <c r="C63" s="11" t="s">
        <v>139</v>
      </c>
      <c r="D63" s="4" t="s">
        <v>511</v>
      </c>
      <c r="E63" s="31" t="s">
        <v>512</v>
      </c>
      <c r="F63" s="16" t="s">
        <v>67</v>
      </c>
      <c r="G63" s="7" t="s">
        <v>17</v>
      </c>
      <c r="H63" s="8" t="s">
        <v>18</v>
      </c>
      <c r="I63" s="32">
        <v>3</v>
      </c>
      <c r="J63" s="33" t="s">
        <v>48</v>
      </c>
      <c r="K63" s="4" t="s">
        <v>513</v>
      </c>
      <c r="L63" s="33" t="s">
        <v>514</v>
      </c>
      <c r="M63" s="4" t="s">
        <v>515</v>
      </c>
      <c r="N63" s="4" t="s">
        <v>516</v>
      </c>
    </row>
    <row r="64" spans="1:14" ht="79.5" customHeight="1">
      <c r="A64" s="21" t="s">
        <v>517</v>
      </c>
      <c r="B64" s="7" t="s">
        <v>47</v>
      </c>
      <c r="C64" s="11" t="s">
        <v>139</v>
      </c>
      <c r="D64" s="4" t="s">
        <v>518</v>
      </c>
      <c r="E64" s="31" t="s">
        <v>519</v>
      </c>
      <c r="F64" s="16" t="s">
        <v>67</v>
      </c>
      <c r="G64" s="7" t="s">
        <v>17</v>
      </c>
      <c r="H64" s="8" t="s">
        <v>18</v>
      </c>
      <c r="I64" s="32">
        <v>2</v>
      </c>
      <c r="J64" s="33" t="s">
        <v>48</v>
      </c>
      <c r="K64" s="4" t="s">
        <v>520</v>
      </c>
      <c r="L64" s="33" t="s">
        <v>145</v>
      </c>
      <c r="M64" s="4" t="s">
        <v>521</v>
      </c>
      <c r="N64" s="4" t="s">
        <v>522</v>
      </c>
    </row>
    <row r="65" spans="1:14" ht="79.5" customHeight="1">
      <c r="A65" s="22" t="s">
        <v>523</v>
      </c>
      <c r="B65" s="23" t="s">
        <v>53</v>
      </c>
      <c r="C65" s="11" t="s">
        <v>119</v>
      </c>
      <c r="D65" s="4" t="s">
        <v>524</v>
      </c>
      <c r="E65" s="31" t="s">
        <v>525</v>
      </c>
      <c r="F65" s="6" t="s">
        <v>16</v>
      </c>
      <c r="G65" s="7" t="s">
        <v>17</v>
      </c>
      <c r="H65" s="8" t="s">
        <v>18</v>
      </c>
      <c r="I65" s="32">
        <v>8</v>
      </c>
      <c r="J65" s="33" t="s">
        <v>24</v>
      </c>
      <c r="K65" s="4" t="s">
        <v>526</v>
      </c>
      <c r="L65" s="33" t="s">
        <v>19</v>
      </c>
      <c r="M65" s="4" t="s">
        <v>527</v>
      </c>
      <c r="N65" s="4" t="s">
        <v>528</v>
      </c>
    </row>
    <row r="66" spans="1:14" ht="79.5" customHeight="1">
      <c r="A66" s="22" t="s">
        <v>529</v>
      </c>
      <c r="B66" s="23" t="s">
        <v>53</v>
      </c>
      <c r="C66" s="11" t="s">
        <v>119</v>
      </c>
      <c r="D66" s="4" t="s">
        <v>530</v>
      </c>
      <c r="E66" s="31" t="s">
        <v>531</v>
      </c>
      <c r="F66" s="6" t="s">
        <v>16</v>
      </c>
      <c r="G66" s="7" t="s">
        <v>17</v>
      </c>
      <c r="H66" s="8" t="s">
        <v>18</v>
      </c>
      <c r="I66" s="32">
        <v>3</v>
      </c>
      <c r="J66" s="33" t="s">
        <v>24</v>
      </c>
      <c r="K66" s="4" t="s">
        <v>532</v>
      </c>
      <c r="L66" s="33" t="s">
        <v>19</v>
      </c>
      <c r="M66" s="4" t="s">
        <v>533</v>
      </c>
      <c r="N66" s="4" t="s">
        <v>534</v>
      </c>
    </row>
    <row r="67" spans="1:14" ht="79.5" customHeight="1">
      <c r="A67" s="22" t="s">
        <v>535</v>
      </c>
      <c r="B67" s="23" t="s">
        <v>53</v>
      </c>
      <c r="C67" s="11" t="s">
        <v>119</v>
      </c>
      <c r="D67" s="4" t="s">
        <v>536</v>
      </c>
      <c r="E67" s="31" t="s">
        <v>537</v>
      </c>
      <c r="F67" s="6" t="s">
        <v>16</v>
      </c>
      <c r="G67" s="7" t="s">
        <v>17</v>
      </c>
      <c r="H67" s="8" t="s">
        <v>18</v>
      </c>
      <c r="I67" s="32">
        <v>3</v>
      </c>
      <c r="J67" s="33" t="s">
        <v>24</v>
      </c>
      <c r="K67" s="4" t="s">
        <v>538</v>
      </c>
      <c r="L67" s="33" t="s">
        <v>19</v>
      </c>
      <c r="M67" s="4" t="s">
        <v>539</v>
      </c>
      <c r="N67" s="4" t="s">
        <v>540</v>
      </c>
    </row>
    <row r="68" spans="1:14" ht="79.5" customHeight="1">
      <c r="A68" s="22" t="s">
        <v>541</v>
      </c>
      <c r="B68" s="23" t="s">
        <v>53</v>
      </c>
      <c r="C68" s="11" t="s">
        <v>119</v>
      </c>
      <c r="D68" s="4" t="s">
        <v>542</v>
      </c>
      <c r="E68" s="31" t="s">
        <v>543</v>
      </c>
      <c r="F68" s="6" t="s">
        <v>16</v>
      </c>
      <c r="G68" s="7" t="s">
        <v>17</v>
      </c>
      <c r="H68" s="8" t="s">
        <v>18</v>
      </c>
      <c r="I68" s="32">
        <v>3</v>
      </c>
      <c r="J68" s="33" t="s">
        <v>24</v>
      </c>
      <c r="K68" s="4" t="s">
        <v>544</v>
      </c>
      <c r="L68" s="33" t="s">
        <v>19</v>
      </c>
      <c r="M68" s="4" t="s">
        <v>545</v>
      </c>
      <c r="N68" s="4" t="s">
        <v>546</v>
      </c>
    </row>
    <row r="69" spans="1:14" ht="79.5" customHeight="1">
      <c r="A69" s="22" t="s">
        <v>547</v>
      </c>
      <c r="B69" s="23" t="s">
        <v>53</v>
      </c>
      <c r="C69" s="11" t="s">
        <v>119</v>
      </c>
      <c r="D69" s="4" t="s">
        <v>548</v>
      </c>
      <c r="E69" s="31" t="s">
        <v>549</v>
      </c>
      <c r="F69" s="6" t="s">
        <v>16</v>
      </c>
      <c r="G69" s="7" t="s">
        <v>17</v>
      </c>
      <c r="H69" s="8" t="s">
        <v>18</v>
      </c>
      <c r="I69" s="32">
        <v>2</v>
      </c>
      <c r="J69" s="33" t="s">
        <v>24</v>
      </c>
      <c r="K69" s="4" t="s">
        <v>550</v>
      </c>
      <c r="L69" s="33" t="s">
        <v>126</v>
      </c>
      <c r="M69" s="4" t="s">
        <v>551</v>
      </c>
      <c r="N69" s="4" t="s">
        <v>552</v>
      </c>
    </row>
    <row r="70" spans="1:14" ht="79.5" customHeight="1">
      <c r="A70" s="22" t="s">
        <v>553</v>
      </c>
      <c r="B70" s="23" t="s">
        <v>53</v>
      </c>
      <c r="C70" s="11" t="s">
        <v>119</v>
      </c>
      <c r="D70" s="4" t="s">
        <v>554</v>
      </c>
      <c r="E70" s="31" t="s">
        <v>555</v>
      </c>
      <c r="F70" s="16" t="s">
        <v>67</v>
      </c>
      <c r="G70" s="7" t="s">
        <v>17</v>
      </c>
      <c r="H70" s="8" t="s">
        <v>18</v>
      </c>
      <c r="I70" s="32">
        <v>1</v>
      </c>
      <c r="J70" s="33" t="s">
        <v>24</v>
      </c>
      <c r="K70" s="4" t="s">
        <v>556</v>
      </c>
      <c r="L70" s="33" t="s">
        <v>273</v>
      </c>
      <c r="M70" s="4" t="s">
        <v>557</v>
      </c>
      <c r="N70" s="4" t="s">
        <v>558</v>
      </c>
    </row>
    <row r="71" spans="1:14" ht="79.5" customHeight="1">
      <c r="A71" s="24" t="s">
        <v>559</v>
      </c>
      <c r="B71" s="25" t="s">
        <v>58</v>
      </c>
      <c r="C71" s="11" t="s">
        <v>158</v>
      </c>
      <c r="D71" s="4" t="s">
        <v>560</v>
      </c>
      <c r="E71" s="31" t="s">
        <v>561</v>
      </c>
      <c r="F71" s="6" t="s">
        <v>16</v>
      </c>
      <c r="G71" s="7" t="s">
        <v>17</v>
      </c>
      <c r="H71" s="8" t="s">
        <v>18</v>
      </c>
      <c r="I71" s="32">
        <v>5</v>
      </c>
      <c r="J71" s="33" t="s">
        <v>59</v>
      </c>
      <c r="K71" s="4" t="s">
        <v>562</v>
      </c>
      <c r="L71" s="33" t="s">
        <v>19</v>
      </c>
      <c r="M71" s="4" t="s">
        <v>563</v>
      </c>
      <c r="N71" s="4" t="s">
        <v>564</v>
      </c>
    </row>
    <row r="72" spans="1:14" ht="79.5" customHeight="1">
      <c r="A72" s="24" t="s">
        <v>565</v>
      </c>
      <c r="B72" s="25" t="s">
        <v>58</v>
      </c>
      <c r="C72" s="11" t="s">
        <v>158</v>
      </c>
      <c r="D72" s="4" t="s">
        <v>566</v>
      </c>
      <c r="E72" s="31" t="s">
        <v>567</v>
      </c>
      <c r="F72" s="6" t="s">
        <v>16</v>
      </c>
      <c r="G72" s="7" t="s">
        <v>17</v>
      </c>
      <c r="H72" s="8" t="s">
        <v>18</v>
      </c>
      <c r="I72" s="32">
        <v>3</v>
      </c>
      <c r="J72" s="33" t="s">
        <v>59</v>
      </c>
      <c r="K72" s="4" t="s">
        <v>161</v>
      </c>
      <c r="L72" s="33" t="s">
        <v>157</v>
      </c>
      <c r="M72" s="4" t="s">
        <v>568</v>
      </c>
      <c r="N72" s="4" t="s">
        <v>569</v>
      </c>
    </row>
    <row r="73" spans="1:14" ht="79.5" customHeight="1">
      <c r="A73" s="24" t="s">
        <v>570</v>
      </c>
      <c r="B73" s="25" t="s">
        <v>58</v>
      </c>
      <c r="C73" s="11" t="s">
        <v>158</v>
      </c>
      <c r="D73" s="4" t="s">
        <v>571</v>
      </c>
      <c r="E73" s="31" t="s">
        <v>572</v>
      </c>
      <c r="F73" s="6" t="s">
        <v>16</v>
      </c>
      <c r="G73" s="7" t="s">
        <v>17</v>
      </c>
      <c r="H73" s="8" t="s">
        <v>18</v>
      </c>
      <c r="I73" s="32">
        <v>3</v>
      </c>
      <c r="J73" s="33" t="s">
        <v>59</v>
      </c>
      <c r="K73" s="4" t="s">
        <v>573</v>
      </c>
      <c r="L73" s="33" t="s">
        <v>574</v>
      </c>
      <c r="M73" s="4" t="s">
        <v>575</v>
      </c>
      <c r="N73" s="4" t="s">
        <v>576</v>
      </c>
    </row>
    <row r="74" spans="1:14" ht="79.5" customHeight="1">
      <c r="A74" s="24" t="s">
        <v>577</v>
      </c>
      <c r="B74" s="25" t="s">
        <v>58</v>
      </c>
      <c r="C74" s="11" t="s">
        <v>158</v>
      </c>
      <c r="D74" s="4" t="s">
        <v>578</v>
      </c>
      <c r="E74" s="31" t="s">
        <v>579</v>
      </c>
      <c r="F74" s="6" t="s">
        <v>16</v>
      </c>
      <c r="G74" s="7" t="s">
        <v>17</v>
      </c>
      <c r="H74" s="8" t="s">
        <v>18</v>
      </c>
      <c r="I74" s="32">
        <v>2</v>
      </c>
      <c r="J74" s="33" t="s">
        <v>59</v>
      </c>
      <c r="K74" s="4" t="s">
        <v>580</v>
      </c>
      <c r="L74" s="33" t="s">
        <v>565</v>
      </c>
      <c r="M74" s="4" t="s">
        <v>581</v>
      </c>
      <c r="N74" s="4" t="s">
        <v>582</v>
      </c>
    </row>
    <row r="75" spans="1:14" ht="79.5" customHeight="1">
      <c r="A75" s="24" t="s">
        <v>583</v>
      </c>
      <c r="B75" s="25" t="s">
        <v>58</v>
      </c>
      <c r="C75" s="11" t="s">
        <v>158</v>
      </c>
      <c r="D75" s="4" t="s">
        <v>584</v>
      </c>
      <c r="E75" s="31" t="s">
        <v>585</v>
      </c>
      <c r="F75" s="16" t="s">
        <v>67</v>
      </c>
      <c r="G75" s="7" t="s">
        <v>17</v>
      </c>
      <c r="H75" s="8" t="s">
        <v>18</v>
      </c>
      <c r="I75" s="32">
        <v>2</v>
      </c>
      <c r="J75" s="33" t="s">
        <v>59</v>
      </c>
      <c r="K75" s="4" t="s">
        <v>586</v>
      </c>
      <c r="L75" s="33" t="s">
        <v>32</v>
      </c>
      <c r="M75" s="4" t="s">
        <v>587</v>
      </c>
      <c r="N75" s="4" t="s">
        <v>588</v>
      </c>
    </row>
    <row r="76" spans="1:14" ht="79.5" customHeight="1">
      <c r="A76" s="24" t="s">
        <v>589</v>
      </c>
      <c r="B76" s="25" t="s">
        <v>58</v>
      </c>
      <c r="C76" s="11" t="s">
        <v>158</v>
      </c>
      <c r="D76" s="4" t="s">
        <v>590</v>
      </c>
      <c r="E76" s="31" t="s">
        <v>591</v>
      </c>
      <c r="F76" s="16" t="s">
        <v>67</v>
      </c>
      <c r="G76" s="17" t="s">
        <v>73</v>
      </c>
      <c r="H76" s="8" t="s">
        <v>18</v>
      </c>
      <c r="I76" s="32">
        <v>3</v>
      </c>
      <c r="J76" s="33" t="s">
        <v>59</v>
      </c>
      <c r="K76" s="4" t="s">
        <v>592</v>
      </c>
      <c r="L76" s="33" t="s">
        <v>593</v>
      </c>
      <c r="M76" s="4" t="s">
        <v>594</v>
      </c>
      <c r="N76" s="4" t="s">
        <v>595</v>
      </c>
    </row>
    <row r="77" spans="1:14" ht="79.5" customHeight="1">
      <c r="A77" s="26" t="s">
        <v>596</v>
      </c>
      <c r="B77" s="27" t="s">
        <v>64</v>
      </c>
      <c r="C77" s="11" t="s">
        <v>119</v>
      </c>
      <c r="D77" s="4" t="s">
        <v>597</v>
      </c>
      <c r="E77" s="31" t="s">
        <v>598</v>
      </c>
      <c r="F77" s="16" t="s">
        <v>67</v>
      </c>
      <c r="G77" s="7" t="s">
        <v>17</v>
      </c>
      <c r="H77" s="8" t="s">
        <v>18</v>
      </c>
      <c r="I77" s="32">
        <v>3</v>
      </c>
      <c r="J77" s="33" t="s">
        <v>599</v>
      </c>
      <c r="K77" s="4" t="s">
        <v>600</v>
      </c>
      <c r="L77" s="33" t="s">
        <v>601</v>
      </c>
      <c r="M77" s="4" t="s">
        <v>602</v>
      </c>
      <c r="N77" s="4" t="s">
        <v>603</v>
      </c>
    </row>
    <row r="78" spans="1:14" ht="79.5" customHeight="1">
      <c r="A78" s="26" t="s">
        <v>604</v>
      </c>
      <c r="B78" s="27" t="s">
        <v>64</v>
      </c>
      <c r="C78" s="11" t="s">
        <v>158</v>
      </c>
      <c r="D78" s="4" t="s">
        <v>605</v>
      </c>
      <c r="E78" s="31" t="s">
        <v>606</v>
      </c>
      <c r="F78" s="16" t="s">
        <v>67</v>
      </c>
      <c r="G78" s="7" t="s">
        <v>17</v>
      </c>
      <c r="H78" s="8" t="s">
        <v>18</v>
      </c>
      <c r="I78" s="32">
        <v>3</v>
      </c>
      <c r="J78" s="33" t="s">
        <v>599</v>
      </c>
      <c r="K78" s="4" t="s">
        <v>607</v>
      </c>
      <c r="L78" s="33" t="s">
        <v>608</v>
      </c>
      <c r="M78" s="4" t="s">
        <v>609</v>
      </c>
      <c r="N78" s="4" t="s">
        <v>610</v>
      </c>
    </row>
    <row r="79" spans="1:14" ht="79.5" customHeight="1">
      <c r="A79" s="26" t="s">
        <v>611</v>
      </c>
      <c r="B79" s="27" t="s">
        <v>64</v>
      </c>
      <c r="C79" s="11" t="s">
        <v>119</v>
      </c>
      <c r="D79" s="4" t="s">
        <v>612</v>
      </c>
      <c r="E79" s="31" t="s">
        <v>613</v>
      </c>
      <c r="F79" s="16" t="s">
        <v>67</v>
      </c>
      <c r="G79" s="7" t="s">
        <v>17</v>
      </c>
      <c r="H79" s="8" t="s">
        <v>18</v>
      </c>
      <c r="I79" s="32">
        <v>2</v>
      </c>
      <c r="J79" s="33" t="s">
        <v>599</v>
      </c>
      <c r="K79" s="4" t="s">
        <v>614</v>
      </c>
      <c r="L79" s="33" t="s">
        <v>615</v>
      </c>
      <c r="M79" s="4" t="s">
        <v>616</v>
      </c>
      <c r="N79" s="4" t="s">
        <v>617</v>
      </c>
    </row>
    <row r="80" spans="1:14" ht="79.5" customHeight="1">
      <c r="A80" s="26" t="s">
        <v>618</v>
      </c>
      <c r="B80" s="27" t="s">
        <v>64</v>
      </c>
      <c r="C80" s="11" t="s">
        <v>139</v>
      </c>
      <c r="D80" s="4" t="s">
        <v>619</v>
      </c>
      <c r="E80" s="31" t="s">
        <v>620</v>
      </c>
      <c r="F80" s="21" t="s">
        <v>96</v>
      </c>
      <c r="G80" s="7" t="s">
        <v>17</v>
      </c>
      <c r="H80" s="8" t="s">
        <v>18</v>
      </c>
      <c r="I80" s="32">
        <v>2</v>
      </c>
      <c r="J80" s="33" t="s">
        <v>599</v>
      </c>
      <c r="K80" s="4" t="s">
        <v>621</v>
      </c>
      <c r="L80" s="33" t="s">
        <v>622</v>
      </c>
      <c r="M80" s="4" t="s">
        <v>623</v>
      </c>
      <c r="N80" s="4" t="s">
        <v>624</v>
      </c>
    </row>
    <row r="81" spans="1:14" ht="79.5" customHeight="1">
      <c r="A81" s="26" t="s">
        <v>625</v>
      </c>
      <c r="B81" s="27" t="s">
        <v>64</v>
      </c>
      <c r="C81" s="11" t="s">
        <v>44</v>
      </c>
      <c r="D81" s="4" t="s">
        <v>626</v>
      </c>
      <c r="E81" s="31" t="s">
        <v>627</v>
      </c>
      <c r="F81" s="16" t="s">
        <v>67</v>
      </c>
      <c r="G81" s="7" t="s">
        <v>17</v>
      </c>
      <c r="H81" s="8" t="s">
        <v>18</v>
      </c>
      <c r="I81" s="32">
        <v>2</v>
      </c>
      <c r="J81" s="33" t="s">
        <v>599</v>
      </c>
      <c r="K81" s="4" t="s">
        <v>628</v>
      </c>
      <c r="L81" s="33" t="s">
        <v>629</v>
      </c>
      <c r="M81" s="4" t="s">
        <v>630</v>
      </c>
      <c r="N81" s="4" t="s">
        <v>631</v>
      </c>
    </row>
    <row r="82" spans="1:14" ht="79.5" customHeight="1">
      <c r="A82" s="26" t="s">
        <v>632</v>
      </c>
      <c r="B82" s="27" t="s">
        <v>64</v>
      </c>
      <c r="C82" s="11" t="s">
        <v>119</v>
      </c>
      <c r="D82" s="4" t="s">
        <v>633</v>
      </c>
      <c r="E82" s="31" t="s">
        <v>634</v>
      </c>
      <c r="F82" s="16" t="s">
        <v>67</v>
      </c>
      <c r="G82" s="7" t="s">
        <v>17</v>
      </c>
      <c r="H82" s="8" t="s">
        <v>18</v>
      </c>
      <c r="I82" s="32">
        <v>2</v>
      </c>
      <c r="J82" s="33" t="s">
        <v>599</v>
      </c>
      <c r="K82" s="4" t="s">
        <v>635</v>
      </c>
      <c r="L82" s="33" t="s">
        <v>636</v>
      </c>
      <c r="M82" s="4" t="s">
        <v>637</v>
      </c>
      <c r="N82" s="4" t="s">
        <v>638</v>
      </c>
    </row>
    <row r="83" spans="1:14" ht="15.75" customHeight="1"/>
    <row r="84" spans="1:14" ht="15.75" customHeight="1"/>
    <row r="85" spans="1:14" ht="15.75" customHeight="1"/>
    <row r="86" spans="1:14" ht="15.75" customHeight="1"/>
    <row r="87" spans="1:14" ht="15.75" customHeight="1"/>
    <row r="88" spans="1:14" ht="15.75" customHeight="1"/>
    <row r="89" spans="1:14" ht="15.75" customHeight="1"/>
    <row r="90" spans="1:14" ht="15.75" customHeight="1"/>
    <row r="91" spans="1:14" ht="15.75" customHeight="1"/>
    <row r="92" spans="1:14" ht="15.75" customHeight="1"/>
    <row r="93" spans="1:14" ht="15.75" customHeight="1"/>
    <row r="94" spans="1:14" ht="15.75" customHeight="1"/>
    <row r="95" spans="1:14" ht="15.75" customHeight="1"/>
    <row r="96" spans="1:14"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N1"/>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showGridLines="0" workbookViewId="0">
      <pane ySplit="2" topLeftCell="A3" activePane="bottomLeft" state="frozen"/>
      <selection pane="bottomLeft" activeCell="B4" sqref="B4"/>
    </sheetView>
  </sheetViews>
  <sheetFormatPr defaultColWidth="14.42578125" defaultRowHeight="15" customHeight="1"/>
  <cols>
    <col min="1" max="1" width="8" customWidth="1"/>
    <col min="2" max="2" width="16" customWidth="1"/>
    <col min="3" max="3" width="24" customWidth="1"/>
    <col min="4" max="4" width="28" customWidth="1"/>
    <col min="5" max="5" width="12" customWidth="1"/>
    <col min="6" max="6" width="36" customWidth="1"/>
    <col min="7" max="7" width="20" customWidth="1"/>
    <col min="8" max="8" width="28" customWidth="1"/>
    <col min="9" max="26" width="8.7109375" customWidth="1"/>
  </cols>
  <sheetData>
    <row r="1" spans="1:8" ht="27.75" customHeight="1">
      <c r="A1" s="59" t="s">
        <v>639</v>
      </c>
      <c r="B1" s="60"/>
      <c r="C1" s="60"/>
      <c r="D1" s="60"/>
      <c r="E1" s="60"/>
      <c r="F1" s="60"/>
      <c r="G1" s="60"/>
      <c r="H1" s="61"/>
    </row>
    <row r="2" spans="1:8" ht="21.75" customHeight="1">
      <c r="A2" s="1" t="s">
        <v>640</v>
      </c>
      <c r="B2" s="1" t="s">
        <v>641</v>
      </c>
      <c r="C2" s="1" t="s">
        <v>642</v>
      </c>
      <c r="D2" s="1" t="s">
        <v>643</v>
      </c>
      <c r="E2" s="1" t="s">
        <v>115</v>
      </c>
      <c r="F2" s="1" t="s">
        <v>644</v>
      </c>
      <c r="G2" s="1" t="s">
        <v>10</v>
      </c>
      <c r="H2" s="1" t="s">
        <v>11</v>
      </c>
    </row>
    <row r="3" spans="1:8" ht="79.5" customHeight="1">
      <c r="A3" s="34" t="s">
        <v>645</v>
      </c>
      <c r="B3" s="35" t="s">
        <v>646</v>
      </c>
      <c r="C3" s="35" t="s">
        <v>647</v>
      </c>
      <c r="D3" s="35" t="s">
        <v>648</v>
      </c>
      <c r="E3" s="36">
        <v>10</v>
      </c>
      <c r="F3" s="35" t="s">
        <v>649</v>
      </c>
      <c r="G3" s="35" t="s">
        <v>19</v>
      </c>
      <c r="H3" s="35" t="s">
        <v>650</v>
      </c>
    </row>
    <row r="4" spans="1:8" ht="79.5" customHeight="1">
      <c r="A4" s="37" t="s">
        <v>651</v>
      </c>
      <c r="B4" s="38" t="s">
        <v>646</v>
      </c>
      <c r="C4" s="38" t="s">
        <v>652</v>
      </c>
      <c r="D4" s="38" t="s">
        <v>653</v>
      </c>
      <c r="E4" s="39">
        <v>11</v>
      </c>
      <c r="F4" s="38" t="s">
        <v>654</v>
      </c>
      <c r="G4" s="38" t="s">
        <v>645</v>
      </c>
      <c r="H4" s="38" t="s">
        <v>655</v>
      </c>
    </row>
    <row r="5" spans="1:8" ht="79.5" customHeight="1">
      <c r="A5" s="34" t="s">
        <v>656</v>
      </c>
      <c r="B5" s="35" t="s">
        <v>646</v>
      </c>
      <c r="C5" s="35" t="s">
        <v>22</v>
      </c>
      <c r="D5" s="35" t="s">
        <v>657</v>
      </c>
      <c r="E5" s="36">
        <v>18</v>
      </c>
      <c r="F5" s="35" t="s">
        <v>658</v>
      </c>
      <c r="G5" s="35" t="s">
        <v>651</v>
      </c>
      <c r="H5" s="35" t="s">
        <v>659</v>
      </c>
    </row>
    <row r="6" spans="1:8" ht="79.5" customHeight="1">
      <c r="A6" s="37" t="s">
        <v>660</v>
      </c>
      <c r="B6" s="38" t="s">
        <v>646</v>
      </c>
      <c r="C6" s="38" t="s">
        <v>661</v>
      </c>
      <c r="D6" s="38" t="s">
        <v>662</v>
      </c>
      <c r="E6" s="39">
        <v>22</v>
      </c>
      <c r="F6" s="38" t="s">
        <v>663</v>
      </c>
      <c r="G6" s="38" t="s">
        <v>656</v>
      </c>
      <c r="H6" s="38" t="s">
        <v>664</v>
      </c>
    </row>
    <row r="7" spans="1:8" ht="79.5" customHeight="1">
      <c r="A7" s="34" t="s">
        <v>665</v>
      </c>
      <c r="B7" s="35" t="s">
        <v>646</v>
      </c>
      <c r="C7" s="35" t="s">
        <v>302</v>
      </c>
      <c r="D7" s="35" t="s">
        <v>666</v>
      </c>
      <c r="E7" s="36">
        <v>21</v>
      </c>
      <c r="F7" s="35" t="s">
        <v>667</v>
      </c>
      <c r="G7" s="35" t="s">
        <v>660</v>
      </c>
      <c r="H7" s="35" t="s">
        <v>668</v>
      </c>
    </row>
    <row r="8" spans="1:8" ht="79.5" customHeight="1">
      <c r="A8" s="37" t="s">
        <v>669</v>
      </c>
      <c r="B8" s="38" t="s">
        <v>646</v>
      </c>
      <c r="C8" s="38" t="s">
        <v>670</v>
      </c>
      <c r="D8" s="38" t="s">
        <v>671</v>
      </c>
      <c r="E8" s="39">
        <v>27</v>
      </c>
      <c r="F8" s="38" t="s">
        <v>672</v>
      </c>
      <c r="G8" s="38" t="s">
        <v>665</v>
      </c>
      <c r="H8" s="38" t="s">
        <v>673</v>
      </c>
    </row>
    <row r="9" spans="1:8" ht="79.5" customHeight="1">
      <c r="A9" s="34" t="s">
        <v>674</v>
      </c>
      <c r="B9" s="35" t="s">
        <v>646</v>
      </c>
      <c r="C9" s="35" t="s">
        <v>48</v>
      </c>
      <c r="D9" s="35" t="s">
        <v>675</v>
      </c>
      <c r="E9" s="36">
        <v>27</v>
      </c>
      <c r="F9" s="35" t="s">
        <v>676</v>
      </c>
      <c r="G9" s="35" t="s">
        <v>677</v>
      </c>
      <c r="H9" s="35" t="s">
        <v>678</v>
      </c>
    </row>
    <row r="10" spans="1:8" ht="79.5" customHeight="1">
      <c r="A10" s="37" t="s">
        <v>679</v>
      </c>
      <c r="B10" s="38" t="s">
        <v>646</v>
      </c>
      <c r="C10" s="38" t="s">
        <v>680</v>
      </c>
      <c r="D10" s="38" t="s">
        <v>681</v>
      </c>
      <c r="E10" s="39">
        <v>29</v>
      </c>
      <c r="F10" s="38" t="s">
        <v>682</v>
      </c>
      <c r="G10" s="38" t="s">
        <v>683</v>
      </c>
      <c r="H10" s="38" t="s">
        <v>684</v>
      </c>
    </row>
    <row r="11" spans="1:8" ht="79.5" customHeight="1">
      <c r="A11" s="34" t="s">
        <v>685</v>
      </c>
      <c r="B11" s="35" t="s">
        <v>646</v>
      </c>
      <c r="C11" s="35" t="s">
        <v>686</v>
      </c>
      <c r="D11" s="35" t="s">
        <v>687</v>
      </c>
      <c r="E11" s="36">
        <v>25</v>
      </c>
      <c r="F11" s="35" t="s">
        <v>688</v>
      </c>
      <c r="G11" s="35" t="s">
        <v>689</v>
      </c>
      <c r="H11" s="35" t="s">
        <v>690</v>
      </c>
    </row>
    <row r="12" spans="1:8" ht="79.5" customHeight="1">
      <c r="A12" s="40" t="s">
        <v>691</v>
      </c>
      <c r="B12" s="41" t="s">
        <v>646</v>
      </c>
      <c r="C12" s="41" t="s">
        <v>692</v>
      </c>
      <c r="D12" s="41" t="s">
        <v>693</v>
      </c>
      <c r="E12" s="42" t="s">
        <v>19</v>
      </c>
      <c r="F12" s="41" t="s">
        <v>694</v>
      </c>
      <c r="G12" s="41" t="s">
        <v>695</v>
      </c>
      <c r="H12" s="41" t="s">
        <v>696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showGridLines="0" workbookViewId="0"/>
  </sheetViews>
  <sheetFormatPr defaultColWidth="14.42578125" defaultRowHeight="15" customHeight="1"/>
  <cols>
    <col min="1" max="1" width="22" customWidth="1"/>
    <col min="2" max="3" width="18" customWidth="1"/>
    <col min="4" max="4" width="22" customWidth="1"/>
    <col min="5" max="26" width="8.7109375" customWidth="1"/>
  </cols>
  <sheetData>
    <row r="1" spans="1:4" ht="27.75" customHeight="1">
      <c r="A1" s="59" t="s">
        <v>697</v>
      </c>
      <c r="B1" s="60"/>
      <c r="C1" s="60"/>
      <c r="D1" s="61"/>
    </row>
    <row r="2" spans="1:4" ht="21.75" customHeight="1">
      <c r="A2" s="43"/>
      <c r="B2" s="44"/>
      <c r="C2" s="44"/>
      <c r="D2" s="44"/>
    </row>
    <row r="3" spans="1:4" ht="21.75" customHeight="1">
      <c r="A3" s="45" t="s">
        <v>698</v>
      </c>
      <c r="B3" s="46" t="s">
        <v>699</v>
      </c>
      <c r="C3" s="44"/>
      <c r="D3" s="44"/>
    </row>
    <row r="4" spans="1:4" ht="21.75" customHeight="1">
      <c r="A4" s="47" t="s">
        <v>700</v>
      </c>
      <c r="B4" s="32">
        <f>COUNTA(Epics!A3:A100)-1</f>
        <v>18</v>
      </c>
      <c r="C4" s="44"/>
      <c r="D4" s="44"/>
    </row>
    <row r="5" spans="1:4" ht="21.75" customHeight="1">
      <c r="A5" s="47" t="s">
        <v>701</v>
      </c>
      <c r="B5" s="32">
        <f>COUNTA('User Stories'!A3:A200)-1</f>
        <v>79</v>
      </c>
      <c r="C5" s="44"/>
      <c r="D5" s="44"/>
    </row>
    <row r="6" spans="1:4" ht="21.75" customHeight="1">
      <c r="A6" s="47" t="s">
        <v>702</v>
      </c>
      <c r="B6" s="32">
        <f>SUM('User Stories'!I3:I200)</f>
        <v>264</v>
      </c>
      <c r="C6" s="44"/>
      <c r="D6" s="44"/>
    </row>
    <row r="7" spans="1:4" ht="21.75" customHeight="1">
      <c r="A7" s="43"/>
      <c r="B7" s="44"/>
      <c r="C7" s="44"/>
      <c r="D7" s="44"/>
    </row>
    <row r="8" spans="1:4" ht="21.75" customHeight="1">
      <c r="A8" s="48" t="s">
        <v>703</v>
      </c>
      <c r="B8" s="32" t="s">
        <v>704</v>
      </c>
      <c r="C8" s="32" t="s">
        <v>705</v>
      </c>
      <c r="D8" s="44"/>
    </row>
    <row r="9" spans="1:4" ht="21.75" customHeight="1">
      <c r="A9" s="47" t="s">
        <v>16</v>
      </c>
      <c r="B9" s="32">
        <f>COUNTIF('User Stories'!F3:F200,"P0 — Must Have")</f>
        <v>56</v>
      </c>
      <c r="C9" s="32">
        <f>SUMIF('User Stories'!F3:F200,"P0 — Must Have",'User Stories'!I3:I200)</f>
        <v>207</v>
      </c>
      <c r="D9" s="44"/>
    </row>
    <row r="10" spans="1:4" ht="21.75" customHeight="1">
      <c r="A10" s="47" t="s">
        <v>67</v>
      </c>
      <c r="B10" s="32">
        <f>COUNTIF('User Stories'!F3:F200,"P1 — Should Have")</f>
        <v>22</v>
      </c>
      <c r="C10" s="32">
        <f>SUMIF('User Stories'!F3:F200,"P1 — Should Have",'User Stories'!I3:I200)</f>
        <v>50</v>
      </c>
      <c r="D10" s="44"/>
    </row>
    <row r="11" spans="1:4" ht="21.75" customHeight="1">
      <c r="A11" s="47" t="s">
        <v>96</v>
      </c>
      <c r="B11" s="32">
        <f>COUNTIF('User Stories'!F3:F200,"P2 — Nice to Have")</f>
        <v>2</v>
      </c>
      <c r="C11" s="32">
        <f>SUMIF('User Stories'!F3:F200,"P2 — Nice to Have",'User Stories'!I3:I200)</f>
        <v>7</v>
      </c>
      <c r="D11" s="44"/>
    </row>
    <row r="12" spans="1:4" ht="21.75" customHeight="1">
      <c r="A12" s="43"/>
      <c r="B12" s="44"/>
      <c r="C12" s="44"/>
      <c r="D12" s="44"/>
    </row>
    <row r="13" spans="1:4" ht="21.75" customHeight="1">
      <c r="A13" s="48" t="s">
        <v>706</v>
      </c>
      <c r="B13" s="32" t="s">
        <v>704</v>
      </c>
      <c r="C13" s="32" t="s">
        <v>705</v>
      </c>
      <c r="D13" s="44"/>
    </row>
    <row r="14" spans="1:4" ht="21.75" customHeight="1">
      <c r="A14" s="47" t="s">
        <v>17</v>
      </c>
      <c r="B14" s="32">
        <f>COUNTIF('User Stories'!G3:G200,"Phase 1")</f>
        <v>78</v>
      </c>
      <c r="C14" s="32">
        <f>SUMIF('User Stories'!G3:G200,"Phase 1",'User Stories'!I3:I200)</f>
        <v>259</v>
      </c>
      <c r="D14" s="44"/>
    </row>
    <row r="15" spans="1:4" ht="21.75" customHeight="1">
      <c r="A15" s="47" t="s">
        <v>73</v>
      </c>
      <c r="B15" s="32">
        <f>COUNTIF('User Stories'!G3:G200,"Phase 2")</f>
        <v>2</v>
      </c>
      <c r="C15" s="32">
        <f>SUMIF('User Stories'!G3:G200,"Phase 2",'User Stories'!I3:I200)</f>
        <v>5</v>
      </c>
      <c r="D15" s="44"/>
    </row>
    <row r="16" spans="1:4" ht="21.75" customHeight="1">
      <c r="A16" s="47" t="s">
        <v>97</v>
      </c>
      <c r="B16" s="32">
        <f>COUNTIF('User Stories'!G3:G200,"Phase 3")</f>
        <v>0</v>
      </c>
      <c r="C16" s="32">
        <f>SUMIF('User Stories'!G3:G200,"Phase 3",'User Stories'!I3:I200)</f>
        <v>0</v>
      </c>
      <c r="D16" s="44"/>
    </row>
    <row r="17" spans="1:4" ht="21.75" customHeight="1">
      <c r="A17" s="43"/>
      <c r="B17" s="44"/>
      <c r="C17" s="44"/>
      <c r="D17" s="44"/>
    </row>
    <row r="18" spans="1:4" ht="21.75" customHeight="1">
      <c r="A18" s="48" t="s">
        <v>707</v>
      </c>
      <c r="B18" s="32" t="s">
        <v>704</v>
      </c>
      <c r="C18" s="32" t="s">
        <v>705</v>
      </c>
      <c r="D18" s="44"/>
    </row>
    <row r="19" spans="1:4" ht="21.75" customHeight="1">
      <c r="A19" s="49" t="s">
        <v>12</v>
      </c>
      <c r="B19" s="32">
        <f>COUNTIF('User Stories'!B3:B200,"EP-01")</f>
        <v>8</v>
      </c>
      <c r="C19" s="32">
        <f>SUMIF('User Stories'!B3:B200,"EP-01",'User Stories'!I3:I200)</f>
        <v>19</v>
      </c>
      <c r="D19" s="44"/>
    </row>
    <row r="20" spans="1:4" ht="21.75" customHeight="1">
      <c r="A20" s="50" t="s">
        <v>21</v>
      </c>
      <c r="B20" s="32">
        <f>COUNTIF('User Stories'!B3:B200,"EP-02")</f>
        <v>7</v>
      </c>
      <c r="C20" s="32">
        <f>SUMIF('User Stories'!B3:B200,"EP-02",'User Stories'!I3:I200)</f>
        <v>30</v>
      </c>
      <c r="D20" s="44"/>
    </row>
    <row r="21" spans="1:4" ht="21.75" customHeight="1">
      <c r="A21" s="51" t="s">
        <v>26</v>
      </c>
      <c r="B21" s="32">
        <f>COUNTIF('User Stories'!B3:B200,"EP-03")</f>
        <v>13</v>
      </c>
      <c r="C21" s="32">
        <f>SUMIF('User Stories'!B3:B200,"EP-03",'User Stories'!I3:I200)</f>
        <v>57</v>
      </c>
      <c r="D21" s="44"/>
    </row>
    <row r="22" spans="1:4" ht="21.75" customHeight="1">
      <c r="A22" s="52" t="s">
        <v>32</v>
      </c>
      <c r="B22" s="32">
        <f>COUNTIF('User Stories'!B3:B200,"EP-04")</f>
        <v>9</v>
      </c>
      <c r="C22" s="32">
        <f>SUMIF('User Stories'!B3:B200,"EP-04",'User Stories'!I3:I200)</f>
        <v>32</v>
      </c>
      <c r="D22" s="44"/>
    </row>
    <row r="23" spans="1:4" ht="21.75" customHeight="1">
      <c r="A23" s="53" t="s">
        <v>36</v>
      </c>
      <c r="B23" s="32">
        <f>COUNTIF('User Stories'!B3:B200,"EP-05")</f>
        <v>7</v>
      </c>
      <c r="C23" s="32">
        <f>SUMIF('User Stories'!B3:B200,"EP-05",'User Stories'!I3:I200)</f>
        <v>21</v>
      </c>
      <c r="D23" s="44"/>
    </row>
    <row r="24" spans="1:4" ht="21.75" customHeight="1">
      <c r="A24" s="54" t="s">
        <v>41</v>
      </c>
      <c r="B24" s="32">
        <f>COUNTIF('User Stories'!B3:B200,"EP-06")</f>
        <v>8</v>
      </c>
      <c r="C24" s="32">
        <f>SUMIF('User Stories'!B3:B200,"EP-06",'User Stories'!I3:I200)</f>
        <v>21</v>
      </c>
      <c r="D24" s="44"/>
    </row>
    <row r="25" spans="1:4" ht="21.75" customHeight="1">
      <c r="A25" s="55" t="s">
        <v>47</v>
      </c>
      <c r="B25" s="32">
        <f>COUNTIF('User Stories'!B3:B200,"EP-07")</f>
        <v>10</v>
      </c>
      <c r="C25" s="32">
        <f>SUMIF('User Stories'!B3:B200,"EP-07",'User Stories'!I3:I200)</f>
        <v>32</v>
      </c>
      <c r="D25" s="44"/>
    </row>
    <row r="26" spans="1:4" ht="21.75" customHeight="1">
      <c r="A26" s="56" t="s">
        <v>53</v>
      </c>
      <c r="B26" s="32">
        <f>COUNTIF('User Stories'!B3:B200,"EP-08")</f>
        <v>6</v>
      </c>
      <c r="C26" s="32">
        <f>SUMIF('User Stories'!B3:B200,"EP-08",'User Stories'!I3:I200)</f>
        <v>20</v>
      </c>
      <c r="D26" s="44"/>
    </row>
    <row r="27" spans="1:4" ht="21.75" customHeight="1">
      <c r="A27" s="57" t="s">
        <v>58</v>
      </c>
      <c r="B27" s="32">
        <f>COUNTIF('User Stories'!B3:B200,"EP-09")</f>
        <v>6</v>
      </c>
      <c r="C27" s="32">
        <f>SUMIF('User Stories'!B3:B200,"EP-09",'User Stories'!I3:I200)</f>
        <v>18</v>
      </c>
      <c r="D27" s="44"/>
    </row>
    <row r="28" spans="1:4" ht="21.75" customHeight="1">
      <c r="A28" s="58" t="s">
        <v>64</v>
      </c>
      <c r="B28" s="32">
        <f>COUNTIF('User Stories'!B3:B200,"EP-10")</f>
        <v>6</v>
      </c>
      <c r="C28" s="32">
        <f>SUMIF('User Stories'!B3:B200,"EP-10",'User Stories'!I3:I200)</f>
        <v>14</v>
      </c>
      <c r="D28" s="44"/>
    </row>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Epics</vt:lpstr>
      <vt:lpstr>User Stories</vt:lpstr>
      <vt:lpstr>Sprint Plan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Hesham Abdelaal</cp:lastModifiedBy>
  <dcterms:created xsi:type="dcterms:W3CDTF">2026-03-26T06:17:06Z</dcterms:created>
  <dcterms:modified xsi:type="dcterms:W3CDTF">2026-04-07T16:01:26Z</dcterms:modified>
</cp:coreProperties>
</file>